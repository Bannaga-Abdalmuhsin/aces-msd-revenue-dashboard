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cescogroup-my.sharepoint.com/personal/bannaga_altieb_aces-co_com/Documents/Desktop/ACES MSD Revenue Report/"/>
    </mc:Choice>
  </mc:AlternateContent>
  <xr:revisionPtr revIDLastSave="7" documentId="8_{93A3585F-C39D-4317-9598-41AC6A266CE7}" xr6:coauthVersionLast="47" xr6:coauthVersionMax="47" xr10:uidLastSave="{5F86B6B9-3575-498F-98A8-BB53ABA2AF4A}"/>
  <bookViews>
    <workbookView xWindow="28680" yWindow="-120" windowWidth="29040" windowHeight="17520" tabRatio="705" xr2:uid="{00000000-000D-0000-FFFF-FFFF00000000}"/>
  </bookViews>
  <sheets>
    <sheet name="Revenue" sheetId="2" r:id="rId1"/>
    <sheet name="Summary" sheetId="3" r:id="rId2"/>
  </sheets>
  <definedNames>
    <definedName name="_xlnm._FilterDatabase" localSheetId="0" hidden="1">Revenue!$A$1:$N$178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" i="3" l="1"/>
  <c r="D9" i="3"/>
  <c r="E8" i="3"/>
  <c r="I159" i="2"/>
  <c r="I158" i="2"/>
  <c r="I157" i="2"/>
  <c r="L157" i="2"/>
  <c r="D7" i="3"/>
  <c r="E7" i="3" s="1"/>
  <c r="E3" i="3"/>
  <c r="E2" i="3"/>
  <c r="L40" i="2"/>
  <c r="C2" i="2"/>
  <c r="I76" i="2"/>
  <c r="L47" i="2"/>
  <c r="N178" i="2"/>
  <c r="L178" i="2"/>
  <c r="N111" i="2"/>
  <c r="L111" i="2"/>
  <c r="N77" i="2"/>
  <c r="L77" i="2"/>
  <c r="I56" i="2"/>
  <c r="I53" i="2"/>
  <c r="I54" i="2"/>
  <c r="N57" i="2"/>
  <c r="L57" i="2"/>
  <c r="N56" i="2"/>
  <c r="L56" i="2"/>
  <c r="N55" i="2"/>
  <c r="L55" i="2"/>
  <c r="I51" i="2"/>
  <c r="N177" i="2"/>
  <c r="L177" i="2"/>
  <c r="N110" i="2"/>
  <c r="L110" i="2"/>
  <c r="I110" i="2"/>
  <c r="N76" i="2" l="1"/>
  <c r="L76" i="2"/>
  <c r="N54" i="2"/>
  <c r="L54" i="2"/>
  <c r="L158" i="2"/>
  <c r="L159" i="2"/>
  <c r="L160" i="2"/>
  <c r="L161" i="2"/>
  <c r="L162" i="2"/>
  <c r="L163" i="2"/>
  <c r="L164" i="2"/>
  <c r="L156" i="2"/>
  <c r="I109" i="2"/>
  <c r="I75" i="2"/>
  <c r="I108" i="2"/>
  <c r="E108" i="2"/>
  <c r="L74" i="2"/>
  <c r="L75" i="2"/>
  <c r="N53" i="2"/>
  <c r="L53" i="2"/>
  <c r="N176" i="2"/>
  <c r="L176" i="2"/>
  <c r="N109" i="2"/>
  <c r="L109" i="2"/>
  <c r="N75" i="2"/>
  <c r="N52" i="2" l="1"/>
  <c r="L52" i="2"/>
  <c r="L3" i="2" l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1" i="2"/>
  <c r="L42" i="2"/>
  <c r="L43" i="2"/>
  <c r="L44" i="2"/>
  <c r="L45" i="2"/>
  <c r="L46" i="2"/>
  <c r="L48" i="2"/>
  <c r="L49" i="2"/>
  <c r="L50" i="2"/>
  <c r="L51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65" i="2"/>
  <c r="L166" i="2"/>
  <c r="L167" i="2"/>
  <c r="L168" i="2"/>
  <c r="L169" i="2"/>
  <c r="L170" i="2"/>
  <c r="L171" i="2"/>
  <c r="L172" i="2"/>
  <c r="L173" i="2"/>
  <c r="L174" i="2"/>
  <c r="L175" i="2"/>
  <c r="L2" i="2"/>
  <c r="N175" i="2" l="1"/>
  <c r="N174" i="2"/>
  <c r="N173" i="2"/>
  <c r="N172" i="2"/>
  <c r="N171" i="2"/>
  <c r="N170" i="2"/>
  <c r="N169" i="2"/>
  <c r="N168" i="2"/>
  <c r="N167" i="2"/>
  <c r="N166" i="2"/>
  <c r="N165" i="2"/>
  <c r="N164" i="2"/>
  <c r="N163" i="2"/>
  <c r="N162" i="2"/>
  <c r="N161" i="2"/>
  <c r="N160" i="2"/>
  <c r="N159" i="2"/>
  <c r="N158" i="2"/>
  <c r="N157" i="2"/>
  <c r="N156" i="2"/>
  <c r="N155" i="2"/>
  <c r="N154" i="2"/>
  <c r="N153" i="2"/>
  <c r="D153" i="2"/>
  <c r="N152" i="2"/>
  <c r="D152" i="2"/>
  <c r="N151" i="2"/>
  <c r="D151" i="2"/>
  <c r="N150" i="2"/>
  <c r="D150" i="2"/>
  <c r="N149" i="2"/>
  <c r="D149" i="2"/>
  <c r="N148" i="2"/>
  <c r="D148" i="2"/>
  <c r="N147" i="2"/>
  <c r="D147" i="2"/>
  <c r="N146" i="2"/>
  <c r="D146" i="2"/>
  <c r="N145" i="2"/>
  <c r="D145" i="2"/>
  <c r="N144" i="2"/>
  <c r="D144" i="2"/>
  <c r="N143" i="2"/>
  <c r="N142" i="2"/>
  <c r="N141" i="2"/>
  <c r="N140" i="2"/>
  <c r="N139" i="2"/>
  <c r="N138" i="2"/>
  <c r="N137" i="2"/>
  <c r="N136" i="2"/>
  <c r="N135" i="2"/>
  <c r="N134" i="2"/>
  <c r="N133" i="2"/>
  <c r="N132" i="2"/>
  <c r="N131" i="2"/>
  <c r="N130" i="2"/>
  <c r="N129" i="2"/>
  <c r="N128" i="2"/>
  <c r="N127" i="2"/>
  <c r="N126" i="2"/>
  <c r="N125" i="2"/>
  <c r="N124" i="2"/>
  <c r="N123" i="2"/>
  <c r="N122" i="2"/>
  <c r="N121" i="2"/>
  <c r="N120" i="2"/>
  <c r="N119" i="2"/>
  <c r="N118" i="2"/>
  <c r="N117" i="2"/>
  <c r="N116" i="2"/>
  <c r="N115" i="2"/>
  <c r="N114" i="2"/>
  <c r="N113" i="2"/>
  <c r="N112" i="2"/>
  <c r="N108" i="2"/>
  <c r="N107" i="2"/>
  <c r="N106" i="2"/>
  <c r="N105" i="2"/>
  <c r="N104" i="2"/>
  <c r="E104" i="2"/>
  <c r="N103" i="2"/>
  <c r="N102" i="2"/>
  <c r="N101" i="2"/>
  <c r="N100" i="2"/>
  <c r="N99" i="2"/>
  <c r="N98" i="2"/>
  <c r="N97" i="2"/>
  <c r="N96" i="2"/>
  <c r="N95" i="2"/>
  <c r="N94" i="2"/>
  <c r="N93" i="2"/>
  <c r="N92" i="2"/>
  <c r="N91" i="2"/>
  <c r="N90" i="2"/>
  <c r="N89" i="2"/>
  <c r="N88" i="2"/>
  <c r="N87" i="2"/>
  <c r="N86" i="2"/>
  <c r="N85" i="2"/>
  <c r="N84" i="2"/>
  <c r="N83" i="2"/>
  <c r="N82" i="2"/>
  <c r="N81" i="2"/>
  <c r="N80" i="2"/>
  <c r="N79" i="2"/>
  <c r="N78" i="2"/>
  <c r="N74" i="2"/>
  <c r="N73" i="2"/>
  <c r="N72" i="2"/>
  <c r="N71" i="2"/>
  <c r="N70" i="2"/>
  <c r="N69" i="2"/>
  <c r="N68" i="2"/>
  <c r="N67" i="2"/>
  <c r="N66" i="2"/>
  <c r="N65" i="2"/>
  <c r="N64" i="2"/>
  <c r="N63" i="2"/>
  <c r="N62" i="2"/>
  <c r="N61" i="2"/>
  <c r="N60" i="2"/>
  <c r="N59" i="2"/>
  <c r="N58" i="2"/>
  <c r="N51" i="2"/>
  <c r="N50" i="2"/>
  <c r="N49" i="2"/>
  <c r="N48" i="2"/>
  <c r="N47" i="2"/>
  <c r="N46" i="2"/>
  <c r="N45" i="2"/>
  <c r="N44" i="2"/>
  <c r="N43" i="2"/>
  <c r="N42" i="2"/>
  <c r="N41" i="2"/>
  <c r="N40" i="2"/>
  <c r="N39" i="2"/>
  <c r="N38" i="2"/>
  <c r="N37" i="2"/>
  <c r="N36" i="2"/>
  <c r="N3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Mohammad Yahia. Quhal</author>
    <author>Bannaga Altieb Abdul Muhsin</author>
  </authors>
  <commentList>
    <comment ref="D32" authorId="0" shapeId="0" xr:uid="{FF1CC034-3CA9-4CC9-88E6-31803685EB69}">
      <text>
        <r>
          <rPr>
            <b/>
            <sz val="11"/>
            <color indexed="81"/>
            <rFont val="Tahoma"/>
            <family val="2"/>
          </rPr>
          <t xml:space="preserve">اجمالي الايراد  مخصوم  200,000
</t>
        </r>
      </text>
    </comment>
    <comment ref="B33" authorId="0" shapeId="0" xr:uid="{7FDB7D86-6D66-4F53-80AB-0A4DCA0A7FF7}">
      <text>
        <r>
          <rPr>
            <b/>
            <sz val="9"/>
            <color indexed="81"/>
            <rFont val="Tahoma"/>
            <family val="2"/>
          </rPr>
          <t>10 %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34" authorId="0" shapeId="0" xr:uid="{0AB4578A-02A7-4FA3-801F-B7B6D28F2166}">
      <text>
        <r>
          <rPr>
            <b/>
            <sz val="12"/>
            <color indexed="81"/>
            <rFont val="Tahoma"/>
            <family val="2"/>
          </rPr>
          <t>اجمالي الايراد  مخصوم  200,000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5" authorId="0" shapeId="0" xr:uid="{D661B99D-2911-4D1D-B820-63196AAD94DB}">
      <text>
        <r>
          <rPr>
            <b/>
            <sz val="9"/>
            <color indexed="81"/>
            <rFont val="Tahoma"/>
            <family val="2"/>
          </rPr>
          <t>10 %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36" authorId="0" shapeId="0" xr:uid="{DC32A549-7BF1-471A-9E45-8E53B0EA7073}">
      <text>
        <r>
          <rPr>
            <b/>
            <sz val="9"/>
            <color indexed="81"/>
            <rFont val="Tahoma"/>
            <family val="2"/>
          </rPr>
          <t>اجمالي الايراد  مخصوم  200,000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7" authorId="0" shapeId="0" xr:uid="{7D1C50EB-6109-484F-84F0-34FA8588983D}">
      <text>
        <r>
          <rPr>
            <b/>
            <sz val="9"/>
            <color indexed="81"/>
            <rFont val="Tahoma"/>
            <family val="2"/>
          </rPr>
          <t xml:space="preserve">10%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57" authorId="1" shapeId="0" xr:uid="{BAFDC189-789C-485A-B0B1-6AA3D35B393C}">
      <text>
        <r>
          <rPr>
            <b/>
            <sz val="9"/>
            <color indexed="81"/>
            <rFont val="Tahoma"/>
            <charset val="1"/>
          </rPr>
          <t>Bannaga Altieb Abdul Muhsin:</t>
        </r>
        <r>
          <rPr>
            <sz val="9"/>
            <color indexed="81"/>
            <rFont val="Tahoma"/>
            <charset val="1"/>
          </rPr>
          <t xml:space="preserve">
In-Process under approval with PM Team</t>
        </r>
      </text>
    </comment>
    <comment ref="I158" authorId="1" shapeId="0" xr:uid="{63A162A0-38F6-451E-88E2-92032F424FF8}">
      <text>
        <r>
          <rPr>
            <b/>
            <sz val="9"/>
            <color indexed="81"/>
            <rFont val="Tahoma"/>
            <charset val="1"/>
          </rPr>
          <t>Bannaga Altieb Abdul Muhsin:</t>
        </r>
        <r>
          <rPr>
            <sz val="9"/>
            <color indexed="81"/>
            <rFont val="Tahoma"/>
            <charset val="1"/>
          </rPr>
          <t xml:space="preserve">
In-Process under approval with PM Team</t>
        </r>
      </text>
    </comment>
  </commentList>
</comments>
</file>

<file path=xl/sharedStrings.xml><?xml version="1.0" encoding="utf-8"?>
<sst xmlns="http://schemas.openxmlformats.org/spreadsheetml/2006/main" count="528" uniqueCount="187">
  <si>
    <t>Project</t>
  </si>
  <si>
    <t>Net Revenue</t>
  </si>
  <si>
    <t>Invoiced</t>
  </si>
  <si>
    <t>Invoiced No</t>
  </si>
  <si>
    <t>STC IBS</t>
  </si>
  <si>
    <t>STC COW</t>
  </si>
  <si>
    <t>IN-025349</t>
  </si>
  <si>
    <t>IN-025362</t>
  </si>
  <si>
    <t>STC WiFi</t>
  </si>
  <si>
    <t>IN-025438</t>
  </si>
  <si>
    <t>IN-025478</t>
  </si>
  <si>
    <t>IN-025477</t>
  </si>
  <si>
    <t>IN-025509</t>
  </si>
  <si>
    <t>Diesel Compensation 2025</t>
  </si>
  <si>
    <t>IN-025148</t>
  </si>
  <si>
    <t>IN-025316</t>
  </si>
  <si>
    <t>IN-025364</t>
  </si>
  <si>
    <t>IN-025142</t>
  </si>
  <si>
    <t>IN-025173</t>
  </si>
  <si>
    <t>IN-025174</t>
  </si>
  <si>
    <t>IN-025266</t>
  </si>
  <si>
    <t>IN-025267</t>
  </si>
  <si>
    <t>Diesel Compensation 2024</t>
  </si>
  <si>
    <t>IN-025378</t>
  </si>
  <si>
    <t>IN-025414</t>
  </si>
  <si>
    <t>Collected Date</t>
  </si>
  <si>
    <t>Work Order</t>
  </si>
  <si>
    <t>Revenue</t>
  </si>
  <si>
    <t>Deductible</t>
  </si>
  <si>
    <t>Penalties</t>
  </si>
  <si>
    <t>IN-025550</t>
  </si>
  <si>
    <t>IN-025566</t>
  </si>
  <si>
    <t>IN-025570</t>
  </si>
  <si>
    <t>IN-025029</t>
  </si>
  <si>
    <t>IN-025591</t>
  </si>
  <si>
    <t>IN-025670</t>
  </si>
  <si>
    <t>IN-025671</t>
  </si>
  <si>
    <t>IN-024819</t>
  </si>
  <si>
    <t>IN-024471</t>
  </si>
  <si>
    <t>IN-024472</t>
  </si>
  <si>
    <t>IN-024557</t>
  </si>
  <si>
    <t>IN-024818</t>
  </si>
  <si>
    <t>IN-024910</t>
  </si>
  <si>
    <t>IN-024911</t>
  </si>
  <si>
    <t>IN-024912</t>
  </si>
  <si>
    <t>IN-024991</t>
  </si>
  <si>
    <t>IN-024992</t>
  </si>
  <si>
    <t>IN-025081</t>
  </si>
  <si>
    <t>IN-024460</t>
  </si>
  <si>
    <t>IN-024674</t>
  </si>
  <si>
    <t>IN-024675</t>
  </si>
  <si>
    <t>IN-024822</t>
  </si>
  <si>
    <t>IN-024817</t>
  </si>
  <si>
    <t>IN-024829</t>
  </si>
  <si>
    <t>Invoice Date</t>
  </si>
  <si>
    <t>IN-025823</t>
  </si>
  <si>
    <t>IN-025832</t>
  </si>
  <si>
    <t>IN-025871</t>
  </si>
  <si>
    <t>IN-022961</t>
  </si>
  <si>
    <t>IN-022959</t>
  </si>
  <si>
    <t>IN-022960</t>
  </si>
  <si>
    <t>IN-022962</t>
  </si>
  <si>
    <t>IN-022986</t>
  </si>
  <si>
    <t>IN-023085</t>
  </si>
  <si>
    <t>IN-023268</t>
  </si>
  <si>
    <t>IN-023269</t>
  </si>
  <si>
    <t>IN-023424</t>
  </si>
  <si>
    <t>IN-023420</t>
  </si>
  <si>
    <t>IN-023594</t>
  </si>
  <si>
    <t>IN-023595</t>
  </si>
  <si>
    <t>IN-023854</t>
  </si>
  <si>
    <t>IN-023855</t>
  </si>
  <si>
    <t>IN-023983</t>
  </si>
  <si>
    <t>IN-023982</t>
  </si>
  <si>
    <t>IN-024174</t>
  </si>
  <si>
    <t>IN-024288</t>
  </si>
  <si>
    <t>IN-024329</t>
  </si>
  <si>
    <t>IN-024114</t>
  </si>
  <si>
    <t>IN-025934</t>
  </si>
  <si>
    <t>IN-025946</t>
  </si>
  <si>
    <t>IN-025962</t>
  </si>
  <si>
    <t>IN-026145</t>
  </si>
  <si>
    <t>IN-026023</t>
  </si>
  <si>
    <t>IN-026290</t>
  </si>
  <si>
    <t>IN-026082</t>
  </si>
  <si>
    <t>IN-026270</t>
  </si>
  <si>
    <t>ACES - NHP MS Project  O&amp;M 2025</t>
  </si>
  <si>
    <t>IN-026683</t>
  </si>
  <si>
    <t>IN-026690</t>
  </si>
  <si>
    <t>Diesel Compensation 2026</t>
  </si>
  <si>
    <t>IN-026943</t>
  </si>
  <si>
    <t>IN-026923</t>
  </si>
  <si>
    <t>IN-026924</t>
  </si>
  <si>
    <t>IN-026973</t>
  </si>
  <si>
    <t>IN-026998</t>
  </si>
  <si>
    <t>IN-027001</t>
  </si>
  <si>
    <t>IN-027005</t>
  </si>
  <si>
    <t>ACES - NHP MS Project  O&amp;M 2026</t>
  </si>
  <si>
    <t>IN-027019</t>
  </si>
  <si>
    <t>IN-027020</t>
  </si>
  <si>
    <t>IN-027021</t>
  </si>
  <si>
    <t>IN-027048</t>
  </si>
  <si>
    <t>IN-027053</t>
  </si>
  <si>
    <t>IN-027051</t>
  </si>
  <si>
    <t>Due Date</t>
  </si>
  <si>
    <t>IN024839</t>
  </si>
  <si>
    <t>IN-027100</t>
  </si>
  <si>
    <t>IN026883</t>
  </si>
  <si>
    <t>IN-026881</t>
  </si>
  <si>
    <t>IN-024884</t>
  </si>
  <si>
    <t xml:space="preserve"> Date</t>
  </si>
  <si>
    <t>IN-027135</t>
  </si>
  <si>
    <t>Days</t>
  </si>
  <si>
    <t>IN-027147</t>
  </si>
  <si>
    <t>IN-027101</t>
  </si>
  <si>
    <t>IN-027092</t>
  </si>
  <si>
    <t>IN-026982</t>
  </si>
  <si>
    <t>IN-027052</t>
  </si>
  <si>
    <t>IN-026981</t>
  </si>
  <si>
    <t>IN-027168</t>
  </si>
  <si>
    <t>IN-027091</t>
  </si>
  <si>
    <t>IN-027182</t>
  </si>
  <si>
    <t>IN-027184</t>
  </si>
  <si>
    <t>Collected</t>
  </si>
  <si>
    <t>IN-027210</t>
  </si>
  <si>
    <t>IN-026980</t>
  </si>
  <si>
    <t>IN-026990</t>
  </si>
  <si>
    <t>IN-027215</t>
  </si>
  <si>
    <t>IN-027188</t>
  </si>
  <si>
    <t>IN-027226</t>
  </si>
  <si>
    <t>IN-024375</t>
  </si>
  <si>
    <t>IN-024841</t>
  </si>
  <si>
    <t>IN-024376</t>
  </si>
  <si>
    <t>IN-024842</t>
  </si>
  <si>
    <t>IN-024836</t>
  </si>
  <si>
    <t>IN-024837</t>
  </si>
  <si>
    <t>IN-024840</t>
  </si>
  <si>
    <t>IN-024838</t>
  </si>
  <si>
    <t>IN-025257</t>
  </si>
  <si>
    <t>IN-025239</t>
  </si>
  <si>
    <t>IN-025264</t>
  </si>
  <si>
    <t>IN-025234</t>
  </si>
  <si>
    <t>IN-025235</t>
  </si>
  <si>
    <t>IN-025236</t>
  </si>
  <si>
    <t>IN-025237</t>
  </si>
  <si>
    <t>IN-025258</t>
  </si>
  <si>
    <t>IN-025259</t>
  </si>
  <si>
    <t>IN-025439</t>
  </si>
  <si>
    <t>IN-025260</t>
  </si>
  <si>
    <t>IN-025440</t>
  </si>
  <si>
    <t>IN-025446</t>
  </si>
  <si>
    <t>IN-025447</t>
  </si>
  <si>
    <t>IN-025449</t>
  </si>
  <si>
    <t>IN-025450</t>
  </si>
  <si>
    <t>IN-025512</t>
  </si>
  <si>
    <t>IN-025451</t>
  </si>
  <si>
    <t>IN-025569</t>
  </si>
  <si>
    <t>IN-025516</t>
  </si>
  <si>
    <t>IN-025629</t>
  </si>
  <si>
    <t>IN-025573</t>
  </si>
  <si>
    <t>IN-025924</t>
  </si>
  <si>
    <t>IN-025630</t>
  </si>
  <si>
    <t>IN-026273</t>
  </si>
  <si>
    <t>IN-025925</t>
  </si>
  <si>
    <t>IN-026298</t>
  </si>
  <si>
    <t>IN-026288</t>
  </si>
  <si>
    <t>IN-026882</t>
  </si>
  <si>
    <t>IN-026299</t>
  </si>
  <si>
    <t>IN-025263</t>
  </si>
  <si>
    <t>IN-025504</t>
  </si>
  <si>
    <t>IN-025505</t>
  </si>
  <si>
    <t>IN-025506</t>
  </si>
  <si>
    <t>IN-025513</t>
  </si>
  <si>
    <t>IN-025514</t>
  </si>
  <si>
    <t>IN-027262</t>
  </si>
  <si>
    <t>IN-027259</t>
  </si>
  <si>
    <t>IN-027260</t>
  </si>
  <si>
    <t>IN-027264</t>
  </si>
  <si>
    <t>IN-027269</t>
  </si>
  <si>
    <t>IN-027274</t>
  </si>
  <si>
    <t>Start Date</t>
  </si>
  <si>
    <t>End Date</t>
  </si>
  <si>
    <t>PO</t>
  </si>
  <si>
    <t>Expected Monthly Revenue</t>
  </si>
  <si>
    <t>Dudectable</t>
  </si>
  <si>
    <t>Penalty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</si>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</sst>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[$-409]mmm\-yy;@"/>
    <numFmt numFmtId="166" formatCode="[$-409]d/mmm/yy;@"/>
    <numFmt numFmtId="167" formatCode="[$-409]d/mmm/yyyy;@"/>
    <numFmt numFmtId="168" formatCode="_([$SAR]\ * #,##0.00_);_([$SAR]\ * \(#,##0.00\);_([$SAR]\ * &quot;-&quot;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Metropolis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indexed="81"/>
      <name val="Tahoma"/>
      <family val="2"/>
    </font>
    <font>
      <b/>
      <sz val="12"/>
      <color indexed="81"/>
      <name val="Tahoma"/>
      <family val="2"/>
    </font>
    <font>
      <sz val="10"/>
      <color rgb="FF000000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2"/>
      <color theme="1"/>
      <name val="Aptos"/>
      <family val="2"/>
    </font>
    <font>
      <sz val="12"/>
      <color theme="1"/>
      <name val="Aptos"/>
      <family val="2"/>
    </font>
    <font>
      <b/>
      <sz val="16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76">
    <xf numFmtId="0" fontId="0" fillId="0" borderId="0" xfId="0"/>
    <xf numFmtId="49" fontId="2" fillId="0" borderId="1" xfId="1" applyNumberFormat="1" applyFont="1" applyFill="1" applyBorder="1" applyAlignment="1">
      <alignment horizontal="left" vertical="center"/>
    </xf>
    <xf numFmtId="49" fontId="1" fillId="0" borderId="1" xfId="1" applyNumberFormat="1" applyFont="1" applyFill="1" applyBorder="1" applyAlignment="1">
      <alignment horizontal="left" vertical="center"/>
    </xf>
    <xf numFmtId="49" fontId="0" fillId="0" borderId="1" xfId="1" applyNumberFormat="1" applyFont="1" applyBorder="1" applyAlignment="1">
      <alignment horizontal="left"/>
    </xf>
    <xf numFmtId="0" fontId="0" fillId="0" borderId="1" xfId="0" applyBorder="1"/>
    <xf numFmtId="17" fontId="0" fillId="0" borderId="1" xfId="0" applyNumberFormat="1" applyBorder="1"/>
    <xf numFmtId="0" fontId="0" fillId="0" borderId="0" xfId="0" applyAlignment="1">
      <alignment horizontal="center" vertical="center"/>
    </xf>
    <xf numFmtId="0" fontId="0" fillId="6" borderId="0" xfId="0" applyFill="1" applyAlignment="1">
      <alignment horizontal="center" vertical="center"/>
    </xf>
    <xf numFmtId="49" fontId="0" fillId="0" borderId="0" xfId="1" applyNumberFormat="1" applyFont="1" applyAlignment="1">
      <alignment horizontal="center" vertical="center"/>
    </xf>
    <xf numFmtId="165" fontId="0" fillId="0" borderId="0" xfId="1" applyNumberFormat="1" applyFont="1" applyAlignment="1">
      <alignment horizontal="center" vertical="center"/>
    </xf>
    <xf numFmtId="43" fontId="0" fillId="0" borderId="0" xfId="1" applyFont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166" fontId="0" fillId="0" borderId="0" xfId="1" applyNumberFormat="1" applyFont="1" applyAlignment="1">
      <alignment horizontal="center" vertical="center"/>
    </xf>
    <xf numFmtId="0" fontId="0" fillId="0" borderId="0" xfId="1" applyNumberFormat="1" applyFont="1" applyAlignment="1">
      <alignment horizontal="center" vertical="center"/>
    </xf>
    <xf numFmtId="167" fontId="0" fillId="0" borderId="0" xfId="1" applyNumberFormat="1" applyFont="1" applyAlignment="1">
      <alignment horizontal="center" vertical="center"/>
    </xf>
    <xf numFmtId="49" fontId="11" fillId="2" borderId="1" xfId="1" applyNumberFormat="1" applyFont="1" applyFill="1" applyBorder="1" applyAlignment="1">
      <alignment horizontal="center" vertical="center"/>
    </xf>
    <xf numFmtId="0" fontId="12" fillId="0" borderId="0" xfId="0" applyFont="1"/>
    <xf numFmtId="168" fontId="0" fillId="0" borderId="1" xfId="1" applyNumberFormat="1" applyFont="1" applyBorder="1"/>
    <xf numFmtId="168" fontId="0" fillId="0" borderId="1" xfId="0" applyNumberFormat="1" applyBorder="1"/>
    <xf numFmtId="168" fontId="0" fillId="0" borderId="1" xfId="0" applyNumberFormat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165" fontId="0" fillId="7" borderId="2" xfId="0" applyNumberFormat="1" applyFill="1" applyBorder="1" applyAlignment="1">
      <alignment horizontal="center" vertical="center"/>
    </xf>
    <xf numFmtId="168" fontId="0" fillId="4" borderId="2" xfId="1" applyNumberFormat="1" applyFont="1" applyFill="1" applyBorder="1" applyAlignment="1">
      <alignment horizontal="center" vertical="center"/>
    </xf>
    <xf numFmtId="168" fontId="0" fillId="7" borderId="2" xfId="1" applyNumberFormat="1" applyFont="1" applyFill="1" applyBorder="1" applyAlignment="1">
      <alignment horizontal="center" vertical="center"/>
    </xf>
    <xf numFmtId="166" fontId="0" fillId="7" borderId="2" xfId="0" applyNumberFormat="1" applyFill="1" applyBorder="1" applyAlignment="1">
      <alignment horizontal="center" vertical="center"/>
    </xf>
    <xf numFmtId="0" fontId="0" fillId="7" borderId="2" xfId="1" applyNumberFormat="1" applyFont="1" applyFill="1" applyBorder="1" applyAlignment="1">
      <alignment horizontal="center" vertical="center"/>
    </xf>
    <xf numFmtId="167" fontId="0" fillId="7" borderId="2" xfId="1" applyNumberFormat="1" applyFont="1" applyFill="1" applyBorder="1" applyAlignment="1">
      <alignment horizontal="center" vertical="center"/>
    </xf>
    <xf numFmtId="167" fontId="0" fillId="7" borderId="2" xfId="0" applyNumberFormat="1" applyFill="1" applyBorder="1" applyAlignment="1">
      <alignment horizontal="center" vertical="center"/>
    </xf>
    <xf numFmtId="2" fontId="0" fillId="7" borderId="2" xfId="0" applyNumberFormat="1" applyFill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68" fontId="0" fillId="0" borderId="2" xfId="1" applyNumberFormat="1" applyFont="1" applyBorder="1" applyAlignment="1">
      <alignment horizontal="center" vertical="center"/>
    </xf>
    <xf numFmtId="166" fontId="0" fillId="0" borderId="2" xfId="0" applyNumberFormat="1" applyBorder="1" applyAlignment="1">
      <alignment horizontal="center" vertical="center"/>
    </xf>
    <xf numFmtId="0" fontId="0" fillId="0" borderId="2" xfId="1" applyNumberFormat="1" applyFont="1" applyBorder="1" applyAlignment="1">
      <alignment horizontal="center" vertical="center"/>
    </xf>
    <xf numFmtId="167" fontId="0" fillId="0" borderId="2" xfId="1" applyNumberFormat="1" applyFont="1" applyBorder="1" applyAlignment="1">
      <alignment horizontal="center" vertical="center"/>
    </xf>
    <xf numFmtId="167" fontId="0" fillId="0" borderId="2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168" fontId="2" fillId="7" borderId="2" xfId="1" applyNumberFormat="1" applyFont="1" applyFill="1" applyBorder="1" applyAlignment="1">
      <alignment horizontal="center" vertical="center"/>
    </xf>
    <xf numFmtId="166" fontId="0" fillId="0" borderId="2" xfId="1" applyNumberFormat="1" applyFont="1" applyBorder="1" applyAlignment="1">
      <alignment horizontal="center" vertical="center"/>
    </xf>
    <xf numFmtId="168" fontId="0" fillId="3" borderId="2" xfId="1" applyNumberFormat="1" applyFont="1" applyFill="1" applyBorder="1" applyAlignment="1">
      <alignment horizontal="center" vertical="center"/>
    </xf>
    <xf numFmtId="166" fontId="0" fillId="7" borderId="2" xfId="1" applyNumberFormat="1" applyFont="1" applyFill="1" applyBorder="1" applyAlignment="1">
      <alignment horizontal="center" vertical="center"/>
    </xf>
    <xf numFmtId="168" fontId="0" fillId="5" borderId="2" xfId="1" applyNumberFormat="1" applyFont="1" applyFill="1" applyBorder="1" applyAlignment="1">
      <alignment horizontal="center" vertical="center"/>
    </xf>
    <xf numFmtId="168" fontId="2" fillId="0" borderId="2" xfId="0" applyNumberFormat="1" applyFont="1" applyBorder="1" applyAlignment="1">
      <alignment horizontal="center" vertical="center"/>
    </xf>
    <xf numFmtId="166" fontId="0" fillId="6" borderId="2" xfId="0" applyNumberFormat="1" applyFill="1" applyBorder="1" applyAlignment="1">
      <alignment horizontal="center" vertical="center"/>
    </xf>
    <xf numFmtId="167" fontId="0" fillId="4" borderId="2" xfId="1" applyNumberFormat="1" applyFont="1" applyFill="1" applyBorder="1" applyAlignment="1">
      <alignment horizontal="center" vertical="center"/>
    </xf>
    <xf numFmtId="165" fontId="0" fillId="6" borderId="2" xfId="0" applyNumberFormat="1" applyFill="1" applyBorder="1" applyAlignment="1">
      <alignment horizontal="center" vertical="center"/>
    </xf>
    <xf numFmtId="168" fontId="0" fillId="6" borderId="2" xfId="1" applyNumberFormat="1" applyFont="1" applyFill="1" applyBorder="1" applyAlignment="1">
      <alignment horizontal="center" vertical="center"/>
    </xf>
    <xf numFmtId="166" fontId="0" fillId="4" borderId="2" xfId="0" applyNumberFormat="1" applyFill="1" applyBorder="1" applyAlignment="1">
      <alignment horizontal="center" vertical="center"/>
    </xf>
    <xf numFmtId="0" fontId="0" fillId="4" borderId="2" xfId="1" applyNumberFormat="1" applyFont="1" applyFill="1" applyBorder="1" applyAlignment="1">
      <alignment horizontal="center" vertical="center"/>
    </xf>
    <xf numFmtId="167" fontId="0" fillId="6" borderId="2" xfId="1" applyNumberFormat="1" applyFont="1" applyFill="1" applyBorder="1" applyAlignment="1">
      <alignment horizontal="center" vertical="center"/>
    </xf>
    <xf numFmtId="2" fontId="0" fillId="6" borderId="2" xfId="0" applyNumberFormat="1" applyFill="1" applyBorder="1" applyAlignment="1">
      <alignment horizontal="center" vertical="center"/>
    </xf>
    <xf numFmtId="0" fontId="0" fillId="6" borderId="2" xfId="1" applyNumberFormat="1" applyFon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5" fontId="0" fillId="8" borderId="2" xfId="0" applyNumberFormat="1" applyFill="1" applyBorder="1" applyAlignment="1">
      <alignment horizontal="center" vertical="center"/>
    </xf>
    <xf numFmtId="168" fontId="0" fillId="8" borderId="2" xfId="1" applyNumberFormat="1" applyFont="1" applyFill="1" applyBorder="1" applyAlignment="1">
      <alignment horizontal="center" vertical="center"/>
    </xf>
    <xf numFmtId="166" fontId="0" fillId="8" borderId="2" xfId="0" applyNumberFormat="1" applyFill="1" applyBorder="1" applyAlignment="1">
      <alignment horizontal="center" vertical="center"/>
    </xf>
    <xf numFmtId="0" fontId="0" fillId="8" borderId="2" xfId="1" applyNumberFormat="1" applyFont="1" applyFill="1" applyBorder="1" applyAlignment="1">
      <alignment horizontal="center" vertical="center"/>
    </xf>
    <xf numFmtId="167" fontId="0" fillId="8" borderId="2" xfId="1" applyNumberFormat="1" applyFont="1" applyFill="1" applyBorder="1" applyAlignment="1">
      <alignment horizontal="center" vertical="center"/>
    </xf>
    <xf numFmtId="2" fontId="0" fillId="8" borderId="2" xfId="0" applyNumberFormat="1" applyFill="1" applyBorder="1" applyAlignment="1">
      <alignment horizontal="center" vertical="center"/>
    </xf>
    <xf numFmtId="168" fontId="0" fillId="0" borderId="5" xfId="1" applyNumberFormat="1" applyFont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8" fontId="0" fillId="7" borderId="2" xfId="0" applyNumberFormat="1" applyFill="1" applyBorder="1" applyAlignment="1">
      <alignment horizontal="center" vertical="center"/>
    </xf>
    <xf numFmtId="168" fontId="0" fillId="0" borderId="2" xfId="0" applyNumberFormat="1" applyBorder="1" applyAlignment="1">
      <alignment horizontal="center" vertical="center"/>
    </xf>
    <xf numFmtId="49" fontId="2" fillId="7" borderId="3" xfId="1" applyNumberFormat="1" applyFont="1" applyFill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 vertical="center"/>
    </xf>
    <xf numFmtId="49" fontId="0" fillId="0" borderId="3" xfId="1" applyNumberFormat="1" applyFont="1" applyBorder="1" applyAlignment="1">
      <alignment horizontal="center" vertical="center"/>
    </xf>
    <xf numFmtId="49" fontId="0" fillId="7" borderId="3" xfId="1" applyNumberFormat="1" applyFont="1" applyFill="1" applyBorder="1" applyAlignment="1">
      <alignment horizontal="center" vertical="center"/>
    </xf>
    <xf numFmtId="49" fontId="0" fillId="6" borderId="3" xfId="1" applyNumberFormat="1" applyFont="1" applyFill="1" applyBorder="1" applyAlignment="1">
      <alignment horizontal="center" vertical="center"/>
    </xf>
    <xf numFmtId="49" fontId="0" fillId="8" borderId="3" xfId="1" applyNumberFormat="1" applyFont="1" applyFill="1" applyBorder="1" applyAlignment="1">
      <alignment horizontal="center" vertical="center"/>
    </xf>
    <xf numFmtId="49" fontId="13" fillId="2" borderId="0" xfId="1" applyNumberFormat="1" applyFont="1" applyFill="1" applyBorder="1" applyAlignment="1">
      <alignment horizontal="center" vertical="center"/>
    </xf>
    <xf numFmtId="165" fontId="13" fillId="2" borderId="4" xfId="1" applyNumberFormat="1" applyFont="1" applyFill="1" applyBorder="1" applyAlignment="1">
      <alignment horizontal="center" vertical="center"/>
    </xf>
    <xf numFmtId="0" fontId="13" fillId="2" borderId="4" xfId="1" applyNumberFormat="1" applyFont="1" applyFill="1" applyBorder="1" applyAlignment="1">
      <alignment horizontal="center" vertical="center"/>
    </xf>
    <xf numFmtId="164" fontId="13" fillId="2" borderId="4" xfId="1" applyNumberFormat="1" applyFont="1" applyFill="1" applyBorder="1" applyAlignment="1">
      <alignment horizontal="center" vertical="center"/>
    </xf>
    <xf numFmtId="166" fontId="13" fillId="2" borderId="4" xfId="1" applyNumberFormat="1" applyFont="1" applyFill="1" applyBorder="1" applyAlignment="1">
      <alignment horizontal="center" vertical="center"/>
    </xf>
    <xf numFmtId="167" fontId="13" fillId="2" borderId="4" xfId="1" applyNumberFormat="1" applyFont="1" applyFill="1" applyBorder="1" applyAlignment="1">
      <alignment horizontal="center" vertical="center"/>
    </xf>
    <xf numFmtId="43" fontId="13" fillId="2" borderId="4" xfId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 2" xfId="2" xr:uid="{60A1C887-14BC-4DEC-AF33-A510D9FC1B82}"/>
  </cellStyles>
  <dxfs count="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_([$SAR]\ * #,##0.00_);_([$SAR]\ * \(#,##0.00\);_([$SAR]\ * &quot;-&quot;??_);_(@_)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_([$SAR]\ * #,##0.00_);_([$SAR]\ * \(#,##0.00\);_([$SAR]\ * &quot;-&quot;??_);_(@_)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[$-409]d/mmm/yyyy;@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_([$SAR]\ * #,##0.00_);_([$SAR]\ * \(#,##0.00\);_([$SAR]\ * &quot;-&quot;??_);_(@_)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[$-409]d/mmm/yyyy;@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[$-409]d/mmm/yy;@"/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_([$SAR]\ * #,##0.00_);_([$SAR]\ * \(#,##0.00\);_([$SAR]\ * &quot;-&quot;??_);_(@_)"/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_([$SAR]\ * #,##0.00_);_([$SAR]\ * \(#,##0.00\);_([$SAR]\ * &quot;-&quot;??_);_(@_)"/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_([$SAR]\ * #,##0.00_);_([$SAR]\ * \(#,##0.00\);_([$SAR]\ * &quot;-&quot;??_);_(@_)"/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_([$SAR]\ * #,##0.00_);_([$SAR]\ * \(#,##0.00\);_([$SAR]\ * &quot;-&quot;??_);_(@_)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[$-409]mmm\-yy;@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alibri"/>
        <family val="2"/>
        <scheme val="minor"/>
      </font>
      <numFmt numFmtId="35" formatCode="_(* #,##0.00_);_(* \(#,##0.00\);_(* &quot;-&quot;??_);_(@_)"/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4343"/>
      <color rgb="FFFF3300"/>
      <color rgb="FFFFE1E1"/>
      <color rgb="FFFFF3F3"/>
      <color rgb="FFFFA7A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1374CB1-5E91-4E09-9AB9-AA8FDDA082D1}" name="Table2" displayName="Table2" ref="A1:N178" totalsRowShown="0" headerRowDxfId="27" dataDxfId="26" tableBorderDxfId="25" headerRowCellStyle="Comma" dataCellStyle="Comma">
  <autoFilter ref="A1:N178" xr:uid="{51374CB1-5E91-4E09-9AB9-AA8FDDA082D1}"/>
  <tableColumns count="14">
    <tableColumn id="1" xr3:uid="{6D7B4672-3F42-45E2-AC53-C05EE460939A}" name="Project" dataDxfId="24" dataCellStyle="Comma"/>
    <tableColumn id="2" xr3:uid="{25746B41-3556-49B0-A486-C48C1BDF6025}" name=" Date" dataDxfId="23"/>
    <tableColumn id="3" xr3:uid="{F35C0EE1-E897-452F-8391-E2DC5B3F8DEC}" name="Work Order" dataDxfId="22" dataCellStyle="Comma"/>
    <tableColumn id="4" xr3:uid="{62BD3DE3-E9C8-48BE-8EEE-DE06C8E76321}" name="Revenue" dataDxfId="21" dataCellStyle="Comma"/>
    <tableColumn id="5" xr3:uid="{5AB551F4-68CC-419B-A535-8072C8796B36}" name="Deductible" dataDxfId="20" dataCellStyle="Comma"/>
    <tableColumn id="6" xr3:uid="{F816A76A-3246-40D2-8B51-4F6685758352}" name="Invoiced" dataDxfId="19" dataCellStyle="Comma"/>
    <tableColumn id="7" xr3:uid="{5595A66A-DAE9-4FB2-A5E8-74243855E377}" name="Invoice Date" dataDxfId="18"/>
    <tableColumn id="8" xr3:uid="{A4F632D9-B470-40C4-8DB8-D79FAB293AAC}" name="Invoiced No" dataDxfId="17" dataCellStyle="Comma"/>
    <tableColumn id="9" xr3:uid="{AFED1BAB-9D34-41FD-9BCF-92D9C2DF892E}" name="Due Date" dataDxfId="16" dataCellStyle="Comma"/>
    <tableColumn id="10" xr3:uid="{E30696F0-B125-415D-B17B-9A24D0366E07}" name="Collected" dataDxfId="15" dataCellStyle="Comma"/>
    <tableColumn id="11" xr3:uid="{F122DA4A-72A4-4A69-9BB5-477E9CF3F8DA}" name="Collected Date" dataDxfId="14" dataCellStyle="Comma"/>
    <tableColumn id="12" xr3:uid="{FFBF5DF6-206F-4B54-9557-CD1CF6AB57C8}" name="Days" dataDxfId="13">
      <calculatedColumnFormula>K2-G2</calculatedColumnFormula>
    </tableColumn>
    <tableColumn id="13" xr3:uid="{013B40CC-A3D8-456C-9400-BC937D468962}" name="Penalties" dataDxfId="12" dataCellStyle="Comma"/>
    <tableColumn id="14" xr3:uid="{EC378FB3-97C4-4B5E-8749-0F740DAE9090}" name="Net Revenue" dataDxfId="11" dataCellStyle="Comma">
      <calculatedColumnFormula>F2-M2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20B37-D55E-4C47-8A41-5033CDE8312E}">
  <dimension ref="A1:N178"/>
  <sheetViews>
    <sheetView tabSelected="1" zoomScale="90" zoomScaleNormal="90" workbookViewId="0">
      <pane ySplit="1" topLeftCell="A2" activePane="bottomLeft" state="frozen"/>
      <selection pane="bottomLeft" activeCell="O1" sqref="O1"/>
    </sheetView>
  </sheetViews>
  <sheetFormatPr defaultColWidth="16.6640625" defaultRowHeight="14.4"/>
  <cols>
    <col min="1" max="1" width="32.6640625" style="8" customWidth="1"/>
    <col min="2" max="2" width="25.6640625" style="9" bestFit="1" customWidth="1"/>
    <col min="3" max="3" width="30.5546875" style="10" customWidth="1"/>
    <col min="4" max="4" width="31.109375" style="10" customWidth="1"/>
    <col min="5" max="5" width="34.88671875" style="11" bestFit="1" customWidth="1"/>
    <col min="6" max="6" width="20.88671875" style="11" customWidth="1"/>
    <col min="7" max="7" width="28" style="12" customWidth="1"/>
    <col min="8" max="8" width="25.44140625" style="13" customWidth="1"/>
    <col min="9" max="9" width="33.6640625" style="14" customWidth="1"/>
    <col min="10" max="10" width="23.109375" style="10" bestFit="1" customWidth="1"/>
    <col min="11" max="11" width="29.6640625" style="14" customWidth="1"/>
    <col min="12" max="12" width="31.44140625" style="14" customWidth="1"/>
    <col min="13" max="13" width="35.88671875" style="10" bestFit="1" customWidth="1"/>
    <col min="14" max="14" width="29.109375" style="10" bestFit="1" customWidth="1"/>
    <col min="15" max="16384" width="16.6640625" style="6"/>
  </cols>
  <sheetData>
    <row r="1" spans="1:14" ht="39.75" customHeight="1">
      <c r="A1" s="69" t="s">
        <v>0</v>
      </c>
      <c r="B1" s="70" t="s">
        <v>110</v>
      </c>
      <c r="C1" s="71" t="s">
        <v>26</v>
      </c>
      <c r="D1" s="71" t="s">
        <v>27</v>
      </c>
      <c r="E1" s="72" t="s">
        <v>28</v>
      </c>
      <c r="F1" s="72" t="s">
        <v>2</v>
      </c>
      <c r="G1" s="73" t="s">
        <v>54</v>
      </c>
      <c r="H1" s="71" t="s">
        <v>3</v>
      </c>
      <c r="I1" s="74" t="s">
        <v>104</v>
      </c>
      <c r="J1" s="75" t="s">
        <v>123</v>
      </c>
      <c r="K1" s="74" t="s">
        <v>25</v>
      </c>
      <c r="L1" s="74" t="s">
        <v>112</v>
      </c>
      <c r="M1" s="75" t="s">
        <v>29</v>
      </c>
      <c r="N1" s="75" t="s">
        <v>1</v>
      </c>
    </row>
    <row r="2" spans="1:14">
      <c r="A2" s="63" t="s">
        <v>5</v>
      </c>
      <c r="B2" s="21">
        <v>45229</v>
      </c>
      <c r="C2" s="22">
        <f>3416666.67/2</f>
        <v>1708333.335</v>
      </c>
      <c r="D2" s="23">
        <v>1686290.06</v>
      </c>
      <c r="E2" s="23">
        <v>0</v>
      </c>
      <c r="F2" s="23">
        <v>1686290.06</v>
      </c>
      <c r="G2" s="24">
        <v>45333</v>
      </c>
      <c r="H2" s="25" t="s">
        <v>130</v>
      </c>
      <c r="I2" s="26" t="s">
        <v>186</v>
      </c>
      <c r="J2" s="23">
        <v>1686290.06</v>
      </c>
      <c r="K2" s="27">
        <v>45551</v>
      </c>
      <c r="L2" s="28">
        <f>K2-G2</f>
        <v>218</v>
      </c>
      <c r="M2" s="23">
        <v>215470.39</v>
      </c>
      <c r="N2" s="23">
        <f t="shared" ref="N2:N33" si="0">F2-M2</f>
        <v>1470819.67</v>
      </c>
    </row>
    <row r="3" spans="1:14">
      <c r="A3" s="64" t="s">
        <v>5</v>
      </c>
      <c r="B3" s="29">
        <v>45229</v>
      </c>
      <c r="C3" s="30">
        <v>0</v>
      </c>
      <c r="D3" s="30">
        <v>187365.5624</v>
      </c>
      <c r="E3" s="30">
        <v>0</v>
      </c>
      <c r="F3" s="30">
        <v>187365.5624</v>
      </c>
      <c r="G3" s="31">
        <v>45498</v>
      </c>
      <c r="H3" s="32" t="s">
        <v>131</v>
      </c>
      <c r="I3" s="33" t="s">
        <v>186</v>
      </c>
      <c r="J3" s="30">
        <v>187365.5624</v>
      </c>
      <c r="K3" s="34">
        <v>45551</v>
      </c>
      <c r="L3" s="35">
        <f t="shared" ref="L3:L72" si="1">K3-G3</f>
        <v>53</v>
      </c>
      <c r="M3" s="30">
        <v>0</v>
      </c>
      <c r="N3" s="30">
        <f t="shared" si="0"/>
        <v>187365.5624</v>
      </c>
    </row>
    <row r="4" spans="1:14">
      <c r="A4" s="63" t="s">
        <v>5</v>
      </c>
      <c r="B4" s="21">
        <v>45260</v>
      </c>
      <c r="C4" s="23">
        <v>3416666.67</v>
      </c>
      <c r="D4" s="23">
        <v>3074999.27</v>
      </c>
      <c r="E4" s="23">
        <v>0</v>
      </c>
      <c r="F4" s="23">
        <v>3074999.27</v>
      </c>
      <c r="G4" s="24">
        <v>45333</v>
      </c>
      <c r="H4" s="25" t="s">
        <v>132</v>
      </c>
      <c r="I4" s="26" t="s">
        <v>186</v>
      </c>
      <c r="J4" s="23">
        <v>3074999.27</v>
      </c>
      <c r="K4" s="27">
        <v>45454</v>
      </c>
      <c r="L4" s="28">
        <f t="shared" si="1"/>
        <v>121</v>
      </c>
      <c r="M4" s="23">
        <v>392916.57</v>
      </c>
      <c r="N4" s="23">
        <f t="shared" si="0"/>
        <v>2682082.7000000002</v>
      </c>
    </row>
    <row r="5" spans="1:14">
      <c r="A5" s="64" t="s">
        <v>5</v>
      </c>
      <c r="B5" s="29">
        <v>45260</v>
      </c>
      <c r="C5" s="30">
        <v>0</v>
      </c>
      <c r="D5" s="30">
        <v>341666.59019999998</v>
      </c>
      <c r="E5" s="30">
        <v>0</v>
      </c>
      <c r="F5" s="30">
        <v>341666.59019999998</v>
      </c>
      <c r="G5" s="31">
        <v>45498</v>
      </c>
      <c r="H5" s="32" t="s">
        <v>133</v>
      </c>
      <c r="I5" s="33" t="s">
        <v>186</v>
      </c>
      <c r="J5" s="30">
        <v>341666.59019999998</v>
      </c>
      <c r="K5" s="34">
        <v>45551</v>
      </c>
      <c r="L5" s="35">
        <f t="shared" si="1"/>
        <v>53</v>
      </c>
      <c r="M5" s="30">
        <v>0</v>
      </c>
      <c r="N5" s="30">
        <f t="shared" si="0"/>
        <v>341666.59019999998</v>
      </c>
    </row>
    <row r="6" spans="1:14">
      <c r="A6" s="63" t="s">
        <v>5</v>
      </c>
      <c r="B6" s="21">
        <v>45291</v>
      </c>
      <c r="C6" s="23">
        <v>3416666.67</v>
      </c>
      <c r="D6" s="23">
        <v>2959365.8319999999</v>
      </c>
      <c r="E6" s="23">
        <v>457300.0281</v>
      </c>
      <c r="F6" s="23">
        <v>2959365.8319999999</v>
      </c>
      <c r="G6" s="24">
        <v>45498</v>
      </c>
      <c r="H6" s="25" t="s">
        <v>134</v>
      </c>
      <c r="I6" s="26" t="s">
        <v>186</v>
      </c>
      <c r="J6" s="23">
        <v>2959365.8319999999</v>
      </c>
      <c r="K6" s="27">
        <v>45551</v>
      </c>
      <c r="L6" s="28">
        <f t="shared" si="1"/>
        <v>53</v>
      </c>
      <c r="M6" s="23">
        <v>392916.58</v>
      </c>
      <c r="N6" s="23">
        <f t="shared" si="0"/>
        <v>2566449.2519999999</v>
      </c>
    </row>
    <row r="7" spans="1:14">
      <c r="A7" s="64" t="s">
        <v>5</v>
      </c>
      <c r="B7" s="29">
        <v>45322</v>
      </c>
      <c r="C7" s="30">
        <v>3416666.67</v>
      </c>
      <c r="D7" s="30">
        <v>3155366.67</v>
      </c>
      <c r="E7" s="30">
        <v>261300</v>
      </c>
      <c r="F7" s="30">
        <v>3155366.67</v>
      </c>
      <c r="G7" s="31">
        <v>45498</v>
      </c>
      <c r="H7" s="32" t="s">
        <v>135</v>
      </c>
      <c r="I7" s="33" t="s">
        <v>186</v>
      </c>
      <c r="J7" s="30">
        <v>3155366.67</v>
      </c>
      <c r="K7" s="34">
        <v>45551</v>
      </c>
      <c r="L7" s="35">
        <f t="shared" si="1"/>
        <v>53</v>
      </c>
      <c r="M7" s="30">
        <v>315536.59000000003</v>
      </c>
      <c r="N7" s="30">
        <f t="shared" si="0"/>
        <v>2839830.08</v>
      </c>
    </row>
    <row r="8" spans="1:14">
      <c r="A8" s="63" t="s">
        <v>5</v>
      </c>
      <c r="B8" s="21">
        <v>45350</v>
      </c>
      <c r="C8" s="23">
        <v>3416666.67</v>
      </c>
      <c r="D8" s="23">
        <v>3123666.67</v>
      </c>
      <c r="E8" s="23">
        <v>293000</v>
      </c>
      <c r="F8" s="23">
        <v>3123666.67</v>
      </c>
      <c r="G8" s="24">
        <v>45498</v>
      </c>
      <c r="H8" s="25" t="s">
        <v>136</v>
      </c>
      <c r="I8" s="26" t="s">
        <v>186</v>
      </c>
      <c r="J8" s="23">
        <v>3123666.67</v>
      </c>
      <c r="K8" s="27">
        <v>45551</v>
      </c>
      <c r="L8" s="28">
        <f t="shared" si="1"/>
        <v>53</v>
      </c>
      <c r="M8" s="23">
        <v>312366.59999999998</v>
      </c>
      <c r="N8" s="23">
        <f t="shared" si="0"/>
        <v>2811300.07</v>
      </c>
    </row>
    <row r="9" spans="1:14">
      <c r="A9" s="64" t="s">
        <v>5</v>
      </c>
      <c r="B9" s="29">
        <v>45352</v>
      </c>
      <c r="C9" s="30">
        <v>3416666.67</v>
      </c>
      <c r="D9" s="30">
        <v>3074999.27</v>
      </c>
      <c r="E9" s="30">
        <v>0</v>
      </c>
      <c r="F9" s="30">
        <v>3074999.27</v>
      </c>
      <c r="G9" s="31">
        <v>45498</v>
      </c>
      <c r="H9" s="32" t="s">
        <v>137</v>
      </c>
      <c r="I9" s="33" t="s">
        <v>186</v>
      </c>
      <c r="J9" s="30">
        <v>3074999.2741</v>
      </c>
      <c r="K9" s="34">
        <v>45551</v>
      </c>
      <c r="L9" s="35">
        <f t="shared" si="1"/>
        <v>53</v>
      </c>
      <c r="M9" s="30">
        <v>341666.59</v>
      </c>
      <c r="N9" s="30">
        <f t="shared" si="0"/>
        <v>2733332.68</v>
      </c>
    </row>
    <row r="10" spans="1:14">
      <c r="A10" s="63" t="s">
        <v>5</v>
      </c>
      <c r="B10" s="21">
        <v>45352</v>
      </c>
      <c r="C10" s="23">
        <v>0</v>
      </c>
      <c r="D10" s="23">
        <v>341666.59</v>
      </c>
      <c r="E10" s="23">
        <v>0</v>
      </c>
      <c r="F10" s="23">
        <v>341666.59</v>
      </c>
      <c r="G10" s="24">
        <v>45673</v>
      </c>
      <c r="H10" s="25" t="s">
        <v>138</v>
      </c>
      <c r="I10" s="26" t="s">
        <v>186</v>
      </c>
      <c r="J10" s="23">
        <v>341666.59</v>
      </c>
      <c r="K10" s="27">
        <v>45687</v>
      </c>
      <c r="L10" s="28">
        <f t="shared" si="1"/>
        <v>14</v>
      </c>
      <c r="M10" s="23">
        <v>0</v>
      </c>
      <c r="N10" s="23">
        <f t="shared" si="0"/>
        <v>341666.59</v>
      </c>
    </row>
    <row r="11" spans="1:14">
      <c r="A11" s="64" t="s">
        <v>5</v>
      </c>
      <c r="B11" s="29">
        <v>45383</v>
      </c>
      <c r="C11" s="30">
        <v>3416666.67</v>
      </c>
      <c r="D11" s="30">
        <v>2958870.6</v>
      </c>
      <c r="E11" s="30">
        <v>0</v>
      </c>
      <c r="F11" s="30">
        <v>2958870.6</v>
      </c>
      <c r="G11" s="31">
        <v>45498</v>
      </c>
      <c r="H11" s="32" t="s">
        <v>105</v>
      </c>
      <c r="I11" s="33" t="s">
        <v>186</v>
      </c>
      <c r="J11" s="30">
        <v>2958870.6039</v>
      </c>
      <c r="K11" s="34">
        <v>45551</v>
      </c>
      <c r="L11" s="35">
        <f t="shared" si="1"/>
        <v>53</v>
      </c>
      <c r="M11" s="30">
        <v>328763.32</v>
      </c>
      <c r="N11" s="30">
        <f t="shared" si="0"/>
        <v>2630107.2800000003</v>
      </c>
    </row>
    <row r="12" spans="1:14">
      <c r="A12" s="63" t="s">
        <v>5</v>
      </c>
      <c r="B12" s="21">
        <v>45383</v>
      </c>
      <c r="C12" s="23">
        <v>0</v>
      </c>
      <c r="D12" s="23">
        <v>328763.40000000002</v>
      </c>
      <c r="E12" s="23">
        <v>0</v>
      </c>
      <c r="F12" s="23">
        <v>328763.40000000002</v>
      </c>
      <c r="G12" s="24">
        <v>45657</v>
      </c>
      <c r="H12" s="25" t="s">
        <v>139</v>
      </c>
      <c r="I12" s="26" t="s">
        <v>186</v>
      </c>
      <c r="J12" s="23">
        <v>328763.40000000002</v>
      </c>
      <c r="K12" s="27">
        <v>45687</v>
      </c>
      <c r="L12" s="28">
        <f t="shared" si="1"/>
        <v>30</v>
      </c>
      <c r="M12" s="23">
        <v>0</v>
      </c>
      <c r="N12" s="23">
        <f t="shared" si="0"/>
        <v>328763.40000000002</v>
      </c>
    </row>
    <row r="13" spans="1:14">
      <c r="A13" s="64" t="s">
        <v>5</v>
      </c>
      <c r="B13" s="29">
        <v>45413</v>
      </c>
      <c r="C13" s="30">
        <v>3416666.67</v>
      </c>
      <c r="D13" s="30">
        <v>3287633.91</v>
      </c>
      <c r="E13" s="30">
        <v>0</v>
      </c>
      <c r="F13" s="30">
        <v>3287633.91</v>
      </c>
      <c r="G13" s="31">
        <v>45677</v>
      </c>
      <c r="H13" s="32" t="s">
        <v>140</v>
      </c>
      <c r="I13" s="33" t="s">
        <v>186</v>
      </c>
      <c r="J13" s="30">
        <v>2958870.5100000002</v>
      </c>
      <c r="K13" s="34">
        <v>45687</v>
      </c>
      <c r="L13" s="35">
        <f t="shared" si="1"/>
        <v>10</v>
      </c>
      <c r="M13" s="30">
        <v>328763.31900000002</v>
      </c>
      <c r="N13" s="30">
        <f t="shared" si="0"/>
        <v>2958870.591</v>
      </c>
    </row>
    <row r="14" spans="1:14">
      <c r="A14" s="63" t="s">
        <v>5</v>
      </c>
      <c r="B14" s="21">
        <v>45444</v>
      </c>
      <c r="C14" s="23">
        <v>3416666.67</v>
      </c>
      <c r="D14" s="23">
        <v>3287634</v>
      </c>
      <c r="E14" s="23">
        <v>0</v>
      </c>
      <c r="F14" s="23">
        <v>3287634</v>
      </c>
      <c r="G14" s="24">
        <v>45657</v>
      </c>
      <c r="H14" s="25" t="s">
        <v>141</v>
      </c>
      <c r="I14" s="26" t="s">
        <v>186</v>
      </c>
      <c r="J14" s="23">
        <v>2958870.6043000002</v>
      </c>
      <c r="K14" s="27">
        <v>45687</v>
      </c>
      <c r="L14" s="28">
        <f t="shared" si="1"/>
        <v>30</v>
      </c>
      <c r="M14" s="23">
        <v>328763.31900000002</v>
      </c>
      <c r="N14" s="23">
        <f t="shared" si="0"/>
        <v>2958870.6809999999</v>
      </c>
    </row>
    <row r="15" spans="1:14">
      <c r="A15" s="64" t="s">
        <v>5</v>
      </c>
      <c r="B15" s="29">
        <v>45474</v>
      </c>
      <c r="C15" s="30">
        <v>3416666.67</v>
      </c>
      <c r="D15" s="30">
        <v>3287634</v>
      </c>
      <c r="E15" s="30">
        <v>0</v>
      </c>
      <c r="F15" s="30">
        <v>3287634</v>
      </c>
      <c r="G15" s="31">
        <v>45657</v>
      </c>
      <c r="H15" s="32" t="s">
        <v>142</v>
      </c>
      <c r="I15" s="33" t="s">
        <v>186</v>
      </c>
      <c r="J15" s="30">
        <v>2958870.6</v>
      </c>
      <c r="K15" s="34">
        <v>45687</v>
      </c>
      <c r="L15" s="35">
        <f t="shared" si="1"/>
        <v>30</v>
      </c>
      <c r="M15" s="30">
        <v>328763.31900000002</v>
      </c>
      <c r="N15" s="30">
        <f t="shared" si="0"/>
        <v>2958870.6809999999</v>
      </c>
    </row>
    <row r="16" spans="1:14">
      <c r="A16" s="63" t="s">
        <v>5</v>
      </c>
      <c r="B16" s="21">
        <v>45505</v>
      </c>
      <c r="C16" s="23">
        <v>3416666.67</v>
      </c>
      <c r="D16" s="23">
        <v>3287634</v>
      </c>
      <c r="E16" s="23">
        <v>0</v>
      </c>
      <c r="F16" s="23">
        <v>3287634</v>
      </c>
      <c r="G16" s="24">
        <v>45657</v>
      </c>
      <c r="H16" s="25" t="s">
        <v>143</v>
      </c>
      <c r="I16" s="26" t="s">
        <v>186</v>
      </c>
      <c r="J16" s="23">
        <v>2958870.6</v>
      </c>
      <c r="K16" s="27">
        <v>45694</v>
      </c>
      <c r="L16" s="28">
        <f t="shared" si="1"/>
        <v>37</v>
      </c>
      <c r="M16" s="23">
        <v>328763.31900000002</v>
      </c>
      <c r="N16" s="23">
        <f t="shared" si="0"/>
        <v>2958870.6809999999</v>
      </c>
    </row>
    <row r="17" spans="1:14">
      <c r="A17" s="64" t="s">
        <v>5</v>
      </c>
      <c r="B17" s="29">
        <v>45536</v>
      </c>
      <c r="C17" s="30">
        <v>3416666.67</v>
      </c>
      <c r="D17" s="30">
        <v>2670633.9900000002</v>
      </c>
      <c r="E17" s="30">
        <v>616999.19999999995</v>
      </c>
      <c r="F17" s="30">
        <v>2670633.9900000002</v>
      </c>
      <c r="G17" s="31">
        <v>45657</v>
      </c>
      <c r="H17" s="32" t="s">
        <v>144</v>
      </c>
      <c r="I17" s="33" t="s">
        <v>186</v>
      </c>
      <c r="J17" s="30">
        <v>2497705.1652173912</v>
      </c>
      <c r="K17" s="34">
        <v>45687</v>
      </c>
      <c r="L17" s="35">
        <f t="shared" si="1"/>
        <v>30</v>
      </c>
      <c r="M17" s="30">
        <v>172928.82</v>
      </c>
      <c r="N17" s="30">
        <f t="shared" si="0"/>
        <v>2497705.1700000004</v>
      </c>
    </row>
    <row r="18" spans="1:14">
      <c r="A18" s="63" t="s">
        <v>5</v>
      </c>
      <c r="B18" s="21">
        <v>45566</v>
      </c>
      <c r="C18" s="23">
        <v>3416666.67</v>
      </c>
      <c r="D18" s="23">
        <v>4169856.98</v>
      </c>
      <c r="E18" s="23">
        <v>21004.880000000001</v>
      </c>
      <c r="F18" s="23">
        <v>4169856.98</v>
      </c>
      <c r="G18" s="24">
        <v>45673</v>
      </c>
      <c r="H18" s="25" t="s">
        <v>145</v>
      </c>
      <c r="I18" s="26" t="s">
        <v>186</v>
      </c>
      <c r="J18" s="23">
        <v>4149856.9826086955</v>
      </c>
      <c r="K18" s="27">
        <v>45687</v>
      </c>
      <c r="L18" s="28">
        <f t="shared" si="1"/>
        <v>14</v>
      </c>
      <c r="M18" s="23">
        <v>20000</v>
      </c>
      <c r="N18" s="23">
        <f t="shared" si="0"/>
        <v>4149856.98</v>
      </c>
    </row>
    <row r="19" spans="1:14">
      <c r="A19" s="64" t="s">
        <v>5</v>
      </c>
      <c r="B19" s="29">
        <v>45597</v>
      </c>
      <c r="C19" s="30">
        <v>3416666.67</v>
      </c>
      <c r="D19" s="30">
        <v>3074999.27</v>
      </c>
      <c r="E19" s="30">
        <v>9000.8500000000895</v>
      </c>
      <c r="F19" s="30">
        <v>3074999.27</v>
      </c>
      <c r="G19" s="31">
        <v>45673</v>
      </c>
      <c r="H19" s="32" t="s">
        <v>146</v>
      </c>
      <c r="I19" s="33" t="s">
        <v>186</v>
      </c>
      <c r="J19" s="30">
        <v>3074999.2695652172</v>
      </c>
      <c r="K19" s="34">
        <v>45687</v>
      </c>
      <c r="L19" s="35">
        <f t="shared" si="1"/>
        <v>14</v>
      </c>
      <c r="M19" s="30">
        <v>144500</v>
      </c>
      <c r="N19" s="30">
        <f t="shared" si="0"/>
        <v>2930499.27</v>
      </c>
    </row>
    <row r="20" spans="1:14">
      <c r="A20" s="63" t="s">
        <v>5</v>
      </c>
      <c r="B20" s="21">
        <v>45597</v>
      </c>
      <c r="C20" s="23">
        <v>0</v>
      </c>
      <c r="D20" s="23">
        <v>332666.55</v>
      </c>
      <c r="E20" s="23">
        <v>0</v>
      </c>
      <c r="F20" s="23">
        <v>332666.55</v>
      </c>
      <c r="G20" s="24">
        <v>45799</v>
      </c>
      <c r="H20" s="25" t="s">
        <v>147</v>
      </c>
      <c r="I20" s="26" t="s">
        <v>186</v>
      </c>
      <c r="J20" s="23">
        <v>332666.55</v>
      </c>
      <c r="K20" s="27">
        <v>45863</v>
      </c>
      <c r="L20" s="28">
        <f t="shared" si="1"/>
        <v>64</v>
      </c>
      <c r="M20" s="23">
        <v>0</v>
      </c>
      <c r="N20" s="23">
        <f t="shared" si="0"/>
        <v>332666.55</v>
      </c>
    </row>
    <row r="21" spans="1:14">
      <c r="A21" s="64" t="s">
        <v>5</v>
      </c>
      <c r="B21" s="29">
        <v>45627</v>
      </c>
      <c r="C21" s="30">
        <v>3416666.67</v>
      </c>
      <c r="D21" s="30">
        <v>3074999.27</v>
      </c>
      <c r="E21" s="30">
        <v>32999.980000000003</v>
      </c>
      <c r="F21" s="30">
        <v>3074999.27</v>
      </c>
      <c r="G21" s="31">
        <v>45673</v>
      </c>
      <c r="H21" s="32" t="s">
        <v>148</v>
      </c>
      <c r="I21" s="33" t="s">
        <v>186</v>
      </c>
      <c r="J21" s="30">
        <v>3074999.2695652172</v>
      </c>
      <c r="K21" s="34">
        <v>45687</v>
      </c>
      <c r="L21" s="35">
        <f t="shared" si="1"/>
        <v>14</v>
      </c>
      <c r="M21" s="30">
        <v>28000</v>
      </c>
      <c r="N21" s="30">
        <f t="shared" si="0"/>
        <v>3046999.27</v>
      </c>
    </row>
    <row r="22" spans="1:14">
      <c r="A22" s="63" t="s">
        <v>5</v>
      </c>
      <c r="B22" s="21">
        <v>45627</v>
      </c>
      <c r="C22" s="23">
        <v>0</v>
      </c>
      <c r="D22" s="23">
        <v>308666.59999999998</v>
      </c>
      <c r="E22" s="23">
        <v>0</v>
      </c>
      <c r="F22" s="23">
        <v>308666.59999999998</v>
      </c>
      <c r="G22" s="24">
        <v>45799</v>
      </c>
      <c r="H22" s="25" t="s">
        <v>149</v>
      </c>
      <c r="I22" s="26" t="s">
        <v>186</v>
      </c>
      <c r="J22" s="23">
        <v>308666.59999999998</v>
      </c>
      <c r="K22" s="27">
        <v>45863</v>
      </c>
      <c r="L22" s="28">
        <f t="shared" si="1"/>
        <v>64</v>
      </c>
      <c r="M22" s="23">
        <v>0</v>
      </c>
      <c r="N22" s="23">
        <f t="shared" si="0"/>
        <v>308666.59999999998</v>
      </c>
    </row>
    <row r="23" spans="1:14" ht="14.4" customHeight="1">
      <c r="A23" s="65" t="s">
        <v>5</v>
      </c>
      <c r="B23" s="29">
        <v>45658</v>
      </c>
      <c r="C23" s="30">
        <v>3416666.6700000018</v>
      </c>
      <c r="D23" s="30">
        <v>3398665.86</v>
      </c>
      <c r="E23" s="30">
        <v>17999.900000000001</v>
      </c>
      <c r="F23" s="30">
        <v>3398665.86</v>
      </c>
      <c r="G23" s="31">
        <v>45799</v>
      </c>
      <c r="H23" s="32" t="s">
        <v>150</v>
      </c>
      <c r="I23" s="33" t="s">
        <v>186</v>
      </c>
      <c r="J23" s="30">
        <v>3398665.86</v>
      </c>
      <c r="K23" s="34">
        <v>45863</v>
      </c>
      <c r="L23" s="35">
        <f t="shared" si="1"/>
        <v>64</v>
      </c>
      <c r="M23" s="30">
        <v>310000</v>
      </c>
      <c r="N23" s="30">
        <f t="shared" si="0"/>
        <v>3088665.86</v>
      </c>
    </row>
    <row r="24" spans="1:14">
      <c r="A24" s="66" t="s">
        <v>5</v>
      </c>
      <c r="B24" s="21">
        <v>45689</v>
      </c>
      <c r="C24" s="23">
        <v>3416666.6700000018</v>
      </c>
      <c r="D24" s="23">
        <v>3386665.86</v>
      </c>
      <c r="E24" s="23">
        <v>30000</v>
      </c>
      <c r="F24" s="23">
        <v>3386665.86</v>
      </c>
      <c r="G24" s="24">
        <v>45802</v>
      </c>
      <c r="H24" s="25" t="s">
        <v>151</v>
      </c>
      <c r="I24" s="26" t="s">
        <v>186</v>
      </c>
      <c r="J24" s="23">
        <v>3386665.86</v>
      </c>
      <c r="K24" s="27">
        <v>45863</v>
      </c>
      <c r="L24" s="28">
        <f t="shared" si="1"/>
        <v>61</v>
      </c>
      <c r="M24" s="23">
        <v>71000</v>
      </c>
      <c r="N24" s="23">
        <f t="shared" si="0"/>
        <v>3315665.86</v>
      </c>
    </row>
    <row r="25" spans="1:14">
      <c r="A25" s="65" t="s">
        <v>5</v>
      </c>
      <c r="B25" s="29">
        <v>45717</v>
      </c>
      <c r="C25" s="30">
        <v>3416666.6700000018</v>
      </c>
      <c r="D25" s="30">
        <v>3389665.86</v>
      </c>
      <c r="E25" s="30">
        <v>27000</v>
      </c>
      <c r="F25" s="30">
        <v>3389665.86</v>
      </c>
      <c r="G25" s="31">
        <v>45803</v>
      </c>
      <c r="H25" s="32" t="s">
        <v>152</v>
      </c>
      <c r="I25" s="33" t="s">
        <v>186</v>
      </c>
      <c r="J25" s="30">
        <v>3389665.86</v>
      </c>
      <c r="K25" s="34">
        <v>45863</v>
      </c>
      <c r="L25" s="35">
        <f t="shared" si="1"/>
        <v>60</v>
      </c>
      <c r="M25" s="30">
        <v>89000</v>
      </c>
      <c r="N25" s="30">
        <f t="shared" si="0"/>
        <v>3300665.86</v>
      </c>
    </row>
    <row r="26" spans="1:14">
      <c r="A26" s="66" t="s">
        <v>5</v>
      </c>
      <c r="B26" s="21">
        <v>45748</v>
      </c>
      <c r="C26" s="23">
        <v>3416666.6700000018</v>
      </c>
      <c r="D26" s="23">
        <v>3074999.27</v>
      </c>
      <c r="E26" s="23">
        <v>36000</v>
      </c>
      <c r="F26" s="23">
        <v>3074999.27</v>
      </c>
      <c r="G26" s="24">
        <v>45803</v>
      </c>
      <c r="H26" s="25" t="s">
        <v>153</v>
      </c>
      <c r="I26" s="26" t="s">
        <v>186</v>
      </c>
      <c r="J26" s="23">
        <v>3074999.27</v>
      </c>
      <c r="K26" s="27">
        <v>45863</v>
      </c>
      <c r="L26" s="28">
        <f t="shared" si="1"/>
        <v>60</v>
      </c>
      <c r="M26" s="36">
        <v>67000</v>
      </c>
      <c r="N26" s="23">
        <f t="shared" si="0"/>
        <v>3007999.27</v>
      </c>
    </row>
    <row r="27" spans="1:14">
      <c r="A27" s="65" t="s">
        <v>5</v>
      </c>
      <c r="B27" s="29">
        <v>45748</v>
      </c>
      <c r="C27" s="30">
        <v>0</v>
      </c>
      <c r="D27" s="30">
        <v>305666.56</v>
      </c>
      <c r="E27" s="30">
        <v>0</v>
      </c>
      <c r="F27" s="30">
        <v>305666.56</v>
      </c>
      <c r="G27" s="31">
        <v>45832</v>
      </c>
      <c r="H27" s="32" t="s">
        <v>154</v>
      </c>
      <c r="I27" s="33" t="s">
        <v>186</v>
      </c>
      <c r="J27" s="30">
        <v>305666.56</v>
      </c>
      <c r="K27" s="34">
        <v>45888</v>
      </c>
      <c r="L27" s="35">
        <f t="shared" si="1"/>
        <v>56</v>
      </c>
      <c r="M27" s="30">
        <v>0</v>
      </c>
      <c r="N27" s="30">
        <f t="shared" si="0"/>
        <v>305666.56</v>
      </c>
    </row>
    <row r="28" spans="1:14">
      <c r="A28" s="66" t="s">
        <v>5</v>
      </c>
      <c r="B28" s="21">
        <v>45778</v>
      </c>
      <c r="C28" s="23">
        <v>3416666.6700000018</v>
      </c>
      <c r="D28" s="23">
        <v>3074999.27</v>
      </c>
      <c r="E28" s="23">
        <v>36000</v>
      </c>
      <c r="F28" s="23">
        <v>3074999.27</v>
      </c>
      <c r="G28" s="24">
        <v>45803</v>
      </c>
      <c r="H28" s="25" t="s">
        <v>155</v>
      </c>
      <c r="I28" s="26" t="s">
        <v>186</v>
      </c>
      <c r="J28" s="23">
        <v>3074999.27</v>
      </c>
      <c r="K28" s="27">
        <v>45863</v>
      </c>
      <c r="L28" s="28">
        <f t="shared" si="1"/>
        <v>60</v>
      </c>
      <c r="M28" s="36">
        <v>87000</v>
      </c>
      <c r="N28" s="23">
        <f t="shared" si="0"/>
        <v>2987999.27</v>
      </c>
    </row>
    <row r="29" spans="1:14">
      <c r="A29" s="65" t="s">
        <v>5</v>
      </c>
      <c r="B29" s="29">
        <v>45778</v>
      </c>
      <c r="C29" s="30">
        <v>0</v>
      </c>
      <c r="D29" s="30">
        <v>305666.56</v>
      </c>
      <c r="E29" s="30">
        <v>0</v>
      </c>
      <c r="F29" s="30">
        <v>305666.56</v>
      </c>
      <c r="G29" s="31">
        <v>45860</v>
      </c>
      <c r="H29" s="32" t="s">
        <v>156</v>
      </c>
      <c r="I29" s="33" t="s">
        <v>186</v>
      </c>
      <c r="J29" s="30">
        <v>305666.56</v>
      </c>
      <c r="K29" s="33">
        <v>45928</v>
      </c>
      <c r="L29" s="35">
        <f t="shared" si="1"/>
        <v>68</v>
      </c>
      <c r="M29" s="30">
        <v>0</v>
      </c>
      <c r="N29" s="30">
        <f t="shared" si="0"/>
        <v>305666.56</v>
      </c>
    </row>
    <row r="30" spans="1:14">
      <c r="A30" s="66" t="s">
        <v>5</v>
      </c>
      <c r="B30" s="21">
        <v>45809</v>
      </c>
      <c r="C30" s="23">
        <v>3416666.67</v>
      </c>
      <c r="D30" s="23">
        <v>3074999.27</v>
      </c>
      <c r="E30" s="23">
        <v>21000.819999999832</v>
      </c>
      <c r="F30" s="23">
        <v>3074999.27</v>
      </c>
      <c r="G30" s="24">
        <v>45833</v>
      </c>
      <c r="H30" s="25" t="s">
        <v>157</v>
      </c>
      <c r="I30" s="26" t="s">
        <v>186</v>
      </c>
      <c r="J30" s="23">
        <v>3074999.27</v>
      </c>
      <c r="K30" s="26">
        <v>45903</v>
      </c>
      <c r="L30" s="28">
        <f t="shared" si="1"/>
        <v>70</v>
      </c>
      <c r="M30" s="36">
        <v>36000</v>
      </c>
      <c r="N30" s="23">
        <f t="shared" si="0"/>
        <v>3038999.27</v>
      </c>
    </row>
    <row r="31" spans="1:14">
      <c r="A31" s="65" t="s">
        <v>5</v>
      </c>
      <c r="B31" s="29">
        <v>45809</v>
      </c>
      <c r="C31" s="30">
        <v>0</v>
      </c>
      <c r="D31" s="30">
        <v>320666.58</v>
      </c>
      <c r="E31" s="30">
        <v>0</v>
      </c>
      <c r="F31" s="30">
        <v>320666.58</v>
      </c>
      <c r="G31" s="37">
        <v>45882</v>
      </c>
      <c r="H31" s="32" t="s">
        <v>158</v>
      </c>
      <c r="I31" s="33" t="s">
        <v>186</v>
      </c>
      <c r="J31" s="30">
        <v>320666.58</v>
      </c>
      <c r="K31" s="33">
        <v>45951</v>
      </c>
      <c r="L31" s="35">
        <f t="shared" si="1"/>
        <v>69</v>
      </c>
      <c r="M31" s="30">
        <v>0</v>
      </c>
      <c r="N31" s="30">
        <f t="shared" si="0"/>
        <v>320666.58</v>
      </c>
    </row>
    <row r="32" spans="1:14">
      <c r="A32" s="66" t="s">
        <v>5</v>
      </c>
      <c r="B32" s="21">
        <v>45868</v>
      </c>
      <c r="C32" s="23">
        <v>3416666.6700000018</v>
      </c>
      <c r="D32" s="38">
        <v>2874999.27</v>
      </c>
      <c r="E32" s="23">
        <v>27000.8100000019</v>
      </c>
      <c r="F32" s="23">
        <v>3074999.27</v>
      </c>
      <c r="G32" s="24">
        <v>45862</v>
      </c>
      <c r="H32" s="25" t="s">
        <v>159</v>
      </c>
      <c r="I32" s="26" t="s">
        <v>186</v>
      </c>
      <c r="J32" s="23">
        <v>3074999.27</v>
      </c>
      <c r="K32" s="26">
        <v>45932</v>
      </c>
      <c r="L32" s="28">
        <f t="shared" si="1"/>
        <v>70</v>
      </c>
      <c r="M32" s="23">
        <v>0</v>
      </c>
      <c r="N32" s="23">
        <f t="shared" si="0"/>
        <v>3074999.27</v>
      </c>
    </row>
    <row r="33" spans="1:14">
      <c r="A33" s="65" t="s">
        <v>5</v>
      </c>
      <c r="B33" s="29">
        <v>45868</v>
      </c>
      <c r="C33" s="30">
        <v>0</v>
      </c>
      <c r="D33" s="30">
        <v>314666.59000000003</v>
      </c>
      <c r="E33" s="30">
        <v>0</v>
      </c>
      <c r="F33" s="30">
        <v>314666.59000000003</v>
      </c>
      <c r="G33" s="31">
        <v>45929</v>
      </c>
      <c r="H33" s="32" t="s">
        <v>160</v>
      </c>
      <c r="I33" s="33" t="s">
        <v>186</v>
      </c>
      <c r="J33" s="30">
        <v>314666.59000000003</v>
      </c>
      <c r="K33" s="33">
        <v>46013</v>
      </c>
      <c r="L33" s="35">
        <f t="shared" si="1"/>
        <v>84</v>
      </c>
      <c r="M33" s="30">
        <v>0</v>
      </c>
      <c r="N33" s="30">
        <f t="shared" si="0"/>
        <v>314666.59000000003</v>
      </c>
    </row>
    <row r="34" spans="1:14">
      <c r="A34" s="66" t="s">
        <v>5</v>
      </c>
      <c r="B34" s="21">
        <v>45870</v>
      </c>
      <c r="C34" s="23">
        <v>3416666.67</v>
      </c>
      <c r="D34" s="38">
        <v>2874999.27</v>
      </c>
      <c r="E34" s="23">
        <v>27000.810000000056</v>
      </c>
      <c r="F34" s="36">
        <v>3074999.27</v>
      </c>
      <c r="G34" s="39">
        <v>45882</v>
      </c>
      <c r="H34" s="25" t="s">
        <v>161</v>
      </c>
      <c r="I34" s="26" t="s">
        <v>186</v>
      </c>
      <c r="J34" s="36">
        <v>3074999.27</v>
      </c>
      <c r="K34" s="26">
        <v>45951</v>
      </c>
      <c r="L34" s="28">
        <f t="shared" si="1"/>
        <v>69</v>
      </c>
      <c r="M34" s="23">
        <v>6000</v>
      </c>
      <c r="N34" s="23">
        <f t="shared" ref="N34:N69" si="2">F34-M34</f>
        <v>3068999.27</v>
      </c>
    </row>
    <row r="35" spans="1:14">
      <c r="A35" s="65" t="s">
        <v>5</v>
      </c>
      <c r="B35" s="29">
        <v>45870</v>
      </c>
      <c r="C35" s="30">
        <v>0</v>
      </c>
      <c r="D35" s="30">
        <v>314665.85699999996</v>
      </c>
      <c r="E35" s="30">
        <v>0</v>
      </c>
      <c r="F35" s="30">
        <v>314666.59000000003</v>
      </c>
      <c r="G35" s="37">
        <v>45991</v>
      </c>
      <c r="H35" s="32" t="s">
        <v>162</v>
      </c>
      <c r="I35" s="33" t="s">
        <v>186</v>
      </c>
      <c r="J35" s="30">
        <v>314666.59000000003</v>
      </c>
      <c r="K35" s="33">
        <v>46063</v>
      </c>
      <c r="L35" s="35">
        <f t="shared" si="1"/>
        <v>72</v>
      </c>
      <c r="M35" s="30">
        <v>0</v>
      </c>
      <c r="N35" s="30">
        <f t="shared" si="2"/>
        <v>314666.59000000003</v>
      </c>
    </row>
    <row r="36" spans="1:14">
      <c r="A36" s="66" t="s">
        <v>5</v>
      </c>
      <c r="B36" s="21">
        <v>45901</v>
      </c>
      <c r="C36" s="23">
        <v>3416666.67</v>
      </c>
      <c r="D36" s="38">
        <v>2874999.27</v>
      </c>
      <c r="E36" s="23">
        <v>0</v>
      </c>
      <c r="F36" s="23">
        <v>3074999.27</v>
      </c>
      <c r="G36" s="24">
        <v>45930</v>
      </c>
      <c r="H36" s="25" t="s">
        <v>163</v>
      </c>
      <c r="I36" s="26" t="s">
        <v>186</v>
      </c>
      <c r="J36" s="23">
        <v>3074999.27</v>
      </c>
      <c r="K36" s="26">
        <v>46083</v>
      </c>
      <c r="L36" s="28">
        <f t="shared" si="1"/>
        <v>153</v>
      </c>
      <c r="M36" s="23">
        <v>67000</v>
      </c>
      <c r="N36" s="23">
        <f t="shared" si="2"/>
        <v>3007999.27</v>
      </c>
    </row>
    <row r="37" spans="1:14">
      <c r="A37" s="65" t="s">
        <v>5</v>
      </c>
      <c r="B37" s="29">
        <v>45901</v>
      </c>
      <c r="C37" s="30">
        <v>0</v>
      </c>
      <c r="D37" s="30">
        <v>341666.59</v>
      </c>
      <c r="E37" s="30">
        <v>0</v>
      </c>
      <c r="F37" s="30">
        <v>341666.59</v>
      </c>
      <c r="G37" s="31">
        <v>45999</v>
      </c>
      <c r="H37" s="32" t="s">
        <v>164</v>
      </c>
      <c r="I37" s="33" t="s">
        <v>186</v>
      </c>
      <c r="J37" s="30">
        <v>341666.59</v>
      </c>
      <c r="K37" s="33">
        <v>46089</v>
      </c>
      <c r="L37" s="35">
        <f t="shared" si="1"/>
        <v>90</v>
      </c>
      <c r="M37" s="30">
        <v>0</v>
      </c>
      <c r="N37" s="30">
        <f t="shared" si="2"/>
        <v>341666.59</v>
      </c>
    </row>
    <row r="38" spans="1:14">
      <c r="A38" s="66" t="s">
        <v>5</v>
      </c>
      <c r="B38" s="21">
        <v>45931</v>
      </c>
      <c r="C38" s="23">
        <v>3416666.6700000018</v>
      </c>
      <c r="D38" s="38">
        <v>2875000.003</v>
      </c>
      <c r="E38" s="23">
        <v>27000</v>
      </c>
      <c r="F38" s="23">
        <v>3074999.27</v>
      </c>
      <c r="G38" s="24">
        <v>45995</v>
      </c>
      <c r="H38" s="25" t="s">
        <v>165</v>
      </c>
      <c r="I38" s="26" t="s">
        <v>186</v>
      </c>
      <c r="J38" s="23">
        <v>3074999.27</v>
      </c>
      <c r="K38" s="26">
        <v>46063</v>
      </c>
      <c r="L38" s="28">
        <f t="shared" si="1"/>
        <v>68</v>
      </c>
      <c r="M38" s="23">
        <v>24000</v>
      </c>
      <c r="N38" s="23">
        <f t="shared" si="2"/>
        <v>3050999.27</v>
      </c>
    </row>
    <row r="39" spans="1:14">
      <c r="A39" s="65" t="s">
        <v>5</v>
      </c>
      <c r="B39" s="29">
        <v>45931</v>
      </c>
      <c r="C39" s="30">
        <v>0</v>
      </c>
      <c r="D39" s="30">
        <v>314666.66700000002</v>
      </c>
      <c r="E39" s="30">
        <v>0</v>
      </c>
      <c r="F39" s="30">
        <v>314666.59000000003</v>
      </c>
      <c r="G39" s="31">
        <v>46069</v>
      </c>
      <c r="H39" s="32" t="s">
        <v>166</v>
      </c>
      <c r="I39" s="33" t="s">
        <v>186</v>
      </c>
      <c r="J39" s="30">
        <v>314666.59000000003</v>
      </c>
      <c r="K39" s="34">
        <v>46133</v>
      </c>
      <c r="L39" s="35">
        <f t="shared" si="1"/>
        <v>64</v>
      </c>
      <c r="M39" s="30">
        <v>0</v>
      </c>
      <c r="N39" s="30">
        <f t="shared" si="2"/>
        <v>314666.59000000003</v>
      </c>
    </row>
    <row r="40" spans="1:14">
      <c r="A40" s="66" t="s">
        <v>5</v>
      </c>
      <c r="B40" s="21">
        <v>45962</v>
      </c>
      <c r="C40" s="23">
        <v>3416666.6700000018</v>
      </c>
      <c r="D40" s="38">
        <v>2874999.27</v>
      </c>
      <c r="E40" s="23">
        <v>3000</v>
      </c>
      <c r="F40" s="23">
        <v>3074999.27</v>
      </c>
      <c r="G40" s="24">
        <v>45999</v>
      </c>
      <c r="H40" s="25" t="s">
        <v>167</v>
      </c>
      <c r="I40" s="26" t="s">
        <v>186</v>
      </c>
      <c r="J40" s="23">
        <v>3074999.27</v>
      </c>
      <c r="K40" s="26">
        <v>46063</v>
      </c>
      <c r="L40" s="28">
        <f>K40-G40</f>
        <v>64</v>
      </c>
      <c r="M40" s="23">
        <v>307000</v>
      </c>
      <c r="N40" s="23">
        <f t="shared" si="2"/>
        <v>2767999.27</v>
      </c>
    </row>
    <row r="41" spans="1:14">
      <c r="A41" s="65" t="s">
        <v>5</v>
      </c>
      <c r="B41" s="29">
        <v>45962</v>
      </c>
      <c r="C41" s="30">
        <v>0</v>
      </c>
      <c r="D41" s="30">
        <v>338666.58</v>
      </c>
      <c r="E41" s="30">
        <v>0</v>
      </c>
      <c r="F41" s="30">
        <v>338666.58</v>
      </c>
      <c r="G41" s="31">
        <v>46111</v>
      </c>
      <c r="H41" s="32" t="s">
        <v>125</v>
      </c>
      <c r="I41" s="33" t="s">
        <v>186</v>
      </c>
      <c r="J41" s="30">
        <v>338666.58</v>
      </c>
      <c r="K41" s="33">
        <v>46161</v>
      </c>
      <c r="L41" s="35">
        <f t="shared" si="1"/>
        <v>50</v>
      </c>
      <c r="M41" s="30">
        <v>0</v>
      </c>
      <c r="N41" s="30">
        <f t="shared" si="2"/>
        <v>338666.58</v>
      </c>
    </row>
    <row r="42" spans="1:14">
      <c r="A42" s="66" t="s">
        <v>5</v>
      </c>
      <c r="B42" s="21">
        <v>45992</v>
      </c>
      <c r="C42" s="23">
        <v>3416666.6700000018</v>
      </c>
      <c r="D42" s="38">
        <v>2874999.27</v>
      </c>
      <c r="E42" s="23">
        <v>6000</v>
      </c>
      <c r="F42" s="23">
        <v>3074999.27</v>
      </c>
      <c r="G42" s="24">
        <v>46069</v>
      </c>
      <c r="H42" s="25" t="s">
        <v>107</v>
      </c>
      <c r="I42" s="26" t="s">
        <v>186</v>
      </c>
      <c r="J42" s="23">
        <v>3074999.27</v>
      </c>
      <c r="K42" s="27">
        <v>46140</v>
      </c>
      <c r="L42" s="28">
        <f t="shared" si="1"/>
        <v>71</v>
      </c>
      <c r="M42" s="23">
        <v>15000</v>
      </c>
      <c r="N42" s="23">
        <f t="shared" si="2"/>
        <v>3059999.27</v>
      </c>
    </row>
    <row r="43" spans="1:14">
      <c r="A43" s="65" t="s">
        <v>5</v>
      </c>
      <c r="B43" s="29">
        <v>45992</v>
      </c>
      <c r="C43" s="30">
        <v>0</v>
      </c>
      <c r="D43" s="30">
        <v>335666.56</v>
      </c>
      <c r="E43" s="30">
        <v>0</v>
      </c>
      <c r="F43" s="30">
        <v>335666.56</v>
      </c>
      <c r="G43" s="31">
        <v>46112</v>
      </c>
      <c r="H43" s="32" t="s">
        <v>126</v>
      </c>
      <c r="I43" s="33" t="s">
        <v>186</v>
      </c>
      <c r="J43" s="30">
        <v>335666.56</v>
      </c>
      <c r="K43" s="33">
        <v>46190</v>
      </c>
      <c r="L43" s="35">
        <f t="shared" si="1"/>
        <v>78</v>
      </c>
      <c r="M43" s="30">
        <v>0</v>
      </c>
      <c r="N43" s="30">
        <f t="shared" si="2"/>
        <v>335666.56</v>
      </c>
    </row>
    <row r="44" spans="1:14">
      <c r="A44" s="66" t="s">
        <v>5</v>
      </c>
      <c r="B44" s="21">
        <v>46023</v>
      </c>
      <c r="C44" s="23">
        <v>3416666.6700000018</v>
      </c>
      <c r="D44" s="40">
        <v>2875000.0900000017</v>
      </c>
      <c r="E44" s="23">
        <v>3000</v>
      </c>
      <c r="F44" s="23">
        <v>3074999.27</v>
      </c>
      <c r="G44" s="24">
        <v>46111</v>
      </c>
      <c r="H44" s="25" t="s">
        <v>118</v>
      </c>
      <c r="I44" s="26" t="s">
        <v>186</v>
      </c>
      <c r="J44" s="23">
        <v>3074999.27</v>
      </c>
      <c r="K44" s="26">
        <v>46161</v>
      </c>
      <c r="L44" s="28">
        <f t="shared" si="1"/>
        <v>50</v>
      </c>
      <c r="M44" s="23">
        <v>53000</v>
      </c>
      <c r="N44" s="23">
        <f t="shared" si="2"/>
        <v>3021999.27</v>
      </c>
    </row>
    <row r="45" spans="1:14">
      <c r="A45" s="65" t="s">
        <v>5</v>
      </c>
      <c r="B45" s="29">
        <v>46023</v>
      </c>
      <c r="C45" s="30">
        <v>0</v>
      </c>
      <c r="D45" s="30">
        <v>338666.58</v>
      </c>
      <c r="E45" s="30">
        <v>0</v>
      </c>
      <c r="F45" s="30">
        <v>338666.58</v>
      </c>
      <c r="G45" s="31">
        <v>46135</v>
      </c>
      <c r="H45" s="32" t="s">
        <v>117</v>
      </c>
      <c r="I45" s="33" t="s">
        <v>186</v>
      </c>
      <c r="J45" s="30">
        <v>338666.58</v>
      </c>
      <c r="K45" s="33">
        <v>46196</v>
      </c>
      <c r="L45" s="35">
        <f t="shared" si="1"/>
        <v>61</v>
      </c>
      <c r="M45" s="30">
        <v>0</v>
      </c>
      <c r="N45" s="30">
        <f t="shared" si="2"/>
        <v>338666.58</v>
      </c>
    </row>
    <row r="46" spans="1:14">
      <c r="A46" s="66" t="s">
        <v>5</v>
      </c>
      <c r="B46" s="21">
        <v>46054</v>
      </c>
      <c r="C46" s="23">
        <v>3416666.6700000018</v>
      </c>
      <c r="D46" s="40">
        <v>2875000.1100000017</v>
      </c>
      <c r="E46" s="23">
        <v>26000</v>
      </c>
      <c r="F46" s="23">
        <v>3074999.27</v>
      </c>
      <c r="G46" s="24">
        <v>46111</v>
      </c>
      <c r="H46" s="25" t="s">
        <v>116</v>
      </c>
      <c r="I46" s="26" t="s">
        <v>186</v>
      </c>
      <c r="J46" s="23">
        <v>3074999.27</v>
      </c>
      <c r="K46" s="26">
        <v>46190</v>
      </c>
      <c r="L46" s="28">
        <f t="shared" si="1"/>
        <v>79</v>
      </c>
      <c r="M46" s="23">
        <v>0</v>
      </c>
      <c r="N46" s="23">
        <f t="shared" si="2"/>
        <v>3074999.27</v>
      </c>
    </row>
    <row r="47" spans="1:14">
      <c r="A47" s="65" t="s">
        <v>5</v>
      </c>
      <c r="B47" s="29">
        <v>46054</v>
      </c>
      <c r="C47" s="30">
        <v>0</v>
      </c>
      <c r="D47" s="30">
        <v>315666.56</v>
      </c>
      <c r="E47" s="30">
        <v>0</v>
      </c>
      <c r="F47" s="30">
        <v>315666.56</v>
      </c>
      <c r="G47" s="31">
        <v>46139</v>
      </c>
      <c r="H47" s="32" t="s">
        <v>115</v>
      </c>
      <c r="I47" s="33" t="s">
        <v>186</v>
      </c>
      <c r="J47" s="30">
        <v>315666.56</v>
      </c>
      <c r="K47" s="33">
        <v>46219</v>
      </c>
      <c r="L47" s="35">
        <f>K47-G47</f>
        <v>80</v>
      </c>
      <c r="M47" s="30">
        <v>0</v>
      </c>
      <c r="N47" s="30">
        <f t="shared" si="2"/>
        <v>315666.56</v>
      </c>
    </row>
    <row r="48" spans="1:14">
      <c r="A48" s="66" t="s">
        <v>5</v>
      </c>
      <c r="B48" s="21">
        <v>46082</v>
      </c>
      <c r="C48" s="23">
        <v>3416666.6700000018</v>
      </c>
      <c r="D48" s="40">
        <v>2874999.27</v>
      </c>
      <c r="E48" s="23">
        <v>3000</v>
      </c>
      <c r="F48" s="23">
        <v>3074999.27</v>
      </c>
      <c r="G48" s="24">
        <v>46139</v>
      </c>
      <c r="H48" s="25" t="s">
        <v>120</v>
      </c>
      <c r="I48" s="26" t="s">
        <v>186</v>
      </c>
      <c r="J48" s="23">
        <v>3074999.27</v>
      </c>
      <c r="K48" s="26">
        <v>46205</v>
      </c>
      <c r="L48" s="28">
        <f t="shared" si="1"/>
        <v>66</v>
      </c>
      <c r="M48" s="23">
        <v>0</v>
      </c>
      <c r="N48" s="23">
        <f t="shared" si="2"/>
        <v>3074999.27</v>
      </c>
    </row>
    <row r="49" spans="1:14">
      <c r="A49" s="65" t="s">
        <v>5</v>
      </c>
      <c r="B49" s="29">
        <v>46082</v>
      </c>
      <c r="C49" s="30">
        <v>0</v>
      </c>
      <c r="D49" s="41">
        <v>338666.58</v>
      </c>
      <c r="E49" s="30">
        <v>0</v>
      </c>
      <c r="F49" s="30">
        <v>338666.58</v>
      </c>
      <c r="G49" s="31">
        <v>46187</v>
      </c>
      <c r="H49" s="32" t="s">
        <v>121</v>
      </c>
      <c r="I49" s="42">
        <v>46247</v>
      </c>
      <c r="J49" s="22">
        <v>0</v>
      </c>
      <c r="K49" s="43"/>
      <c r="L49" s="35">
        <f t="shared" si="1"/>
        <v>-46187</v>
      </c>
      <c r="M49" s="30">
        <v>0</v>
      </c>
      <c r="N49" s="30">
        <f t="shared" si="2"/>
        <v>338666.58</v>
      </c>
    </row>
    <row r="50" spans="1:14">
      <c r="A50" s="66" t="s">
        <v>5</v>
      </c>
      <c r="B50" s="21">
        <v>46113</v>
      </c>
      <c r="C50" s="23">
        <v>3416666.6700000018</v>
      </c>
      <c r="D50" s="40">
        <v>2875000.0800000019</v>
      </c>
      <c r="E50" s="23">
        <v>0</v>
      </c>
      <c r="F50" s="23">
        <v>3074999.27</v>
      </c>
      <c r="G50" s="24">
        <v>46145</v>
      </c>
      <c r="H50" s="25" t="s">
        <v>114</v>
      </c>
      <c r="I50" s="26" t="s">
        <v>186</v>
      </c>
      <c r="J50" s="23">
        <v>3074999.27</v>
      </c>
      <c r="K50" s="26">
        <v>46205</v>
      </c>
      <c r="L50" s="28">
        <f t="shared" si="1"/>
        <v>60</v>
      </c>
      <c r="M50" s="23">
        <v>12000</v>
      </c>
      <c r="N50" s="23">
        <f t="shared" si="2"/>
        <v>3062999.27</v>
      </c>
    </row>
    <row r="51" spans="1:14">
      <c r="A51" s="65" t="s">
        <v>5</v>
      </c>
      <c r="B51" s="29">
        <v>46113</v>
      </c>
      <c r="C51" s="30">
        <v>0</v>
      </c>
      <c r="D51" s="30">
        <v>341666.59</v>
      </c>
      <c r="E51" s="30">
        <v>0</v>
      </c>
      <c r="F51" s="30">
        <v>341666.59</v>
      </c>
      <c r="G51" s="37">
        <v>46236</v>
      </c>
      <c r="H51" s="32" t="s">
        <v>174</v>
      </c>
      <c r="I51" s="42">
        <f>G51+60</f>
        <v>46296</v>
      </c>
      <c r="J51" s="22">
        <v>0</v>
      </c>
      <c r="K51" s="43"/>
      <c r="L51" s="35">
        <f t="shared" si="1"/>
        <v>-46236</v>
      </c>
      <c r="M51" s="30">
        <v>0</v>
      </c>
      <c r="N51" s="30">
        <f t="shared" si="2"/>
        <v>341666.59</v>
      </c>
    </row>
    <row r="52" spans="1:14">
      <c r="A52" s="66" t="s">
        <v>5</v>
      </c>
      <c r="B52" s="21">
        <v>46143</v>
      </c>
      <c r="C52" s="23">
        <v>3416666.6700000018</v>
      </c>
      <c r="D52" s="40">
        <v>2875000.0800000019</v>
      </c>
      <c r="E52" s="23">
        <v>0</v>
      </c>
      <c r="F52" s="23">
        <v>3074999.27</v>
      </c>
      <c r="G52" s="24">
        <v>46187</v>
      </c>
      <c r="H52" s="25" t="s">
        <v>122</v>
      </c>
      <c r="I52" s="42">
        <v>46247</v>
      </c>
      <c r="J52" s="22">
        <v>0</v>
      </c>
      <c r="K52" s="43"/>
      <c r="L52" s="28">
        <f t="shared" ref="L52" si="3">K52-G52</f>
        <v>-46187</v>
      </c>
      <c r="M52" s="23">
        <v>112000</v>
      </c>
      <c r="N52" s="23">
        <f t="shared" si="2"/>
        <v>2962999.27</v>
      </c>
    </row>
    <row r="53" spans="1:14">
      <c r="A53" s="65" t="s">
        <v>5</v>
      </c>
      <c r="B53" s="29">
        <v>46143</v>
      </c>
      <c r="C53" s="30"/>
      <c r="D53" s="30">
        <v>341666.59</v>
      </c>
      <c r="E53" s="30">
        <v>0</v>
      </c>
      <c r="F53" s="30">
        <v>341666.59</v>
      </c>
      <c r="G53" s="37">
        <v>46236</v>
      </c>
      <c r="H53" s="32" t="s">
        <v>176</v>
      </c>
      <c r="I53" s="42">
        <f>G53+60</f>
        <v>46296</v>
      </c>
      <c r="J53" s="22">
        <v>0</v>
      </c>
      <c r="K53" s="43"/>
      <c r="L53" s="35">
        <f t="shared" ref="L53" si="4">K53-G53</f>
        <v>-46236</v>
      </c>
      <c r="M53" s="30">
        <v>0</v>
      </c>
      <c r="N53" s="30">
        <f t="shared" si="2"/>
        <v>341666.59</v>
      </c>
    </row>
    <row r="54" spans="1:14">
      <c r="A54" s="66" t="s">
        <v>5</v>
      </c>
      <c r="B54" s="44">
        <v>46174</v>
      </c>
      <c r="C54" s="45">
        <v>3416666.67</v>
      </c>
      <c r="D54" s="22">
        <v>3134665.9</v>
      </c>
      <c r="E54" s="22">
        <v>0</v>
      </c>
      <c r="F54" s="23">
        <v>3074999.27</v>
      </c>
      <c r="G54" s="39">
        <v>46236</v>
      </c>
      <c r="H54" s="25" t="s">
        <v>175</v>
      </c>
      <c r="I54" s="42">
        <f>G54+60</f>
        <v>46296</v>
      </c>
      <c r="J54" s="22">
        <v>0</v>
      </c>
      <c r="K54" s="43"/>
      <c r="L54" s="28">
        <f t="shared" ref="L54" si="5">K54-G54</f>
        <v>-46236</v>
      </c>
      <c r="M54" s="23">
        <v>0</v>
      </c>
      <c r="N54" s="23">
        <f t="shared" ref="N54" si="6">F54-M54</f>
        <v>3074999.27</v>
      </c>
    </row>
    <row r="55" spans="1:14">
      <c r="A55" s="65" t="s">
        <v>5</v>
      </c>
      <c r="B55" s="44">
        <v>46174</v>
      </c>
      <c r="C55" s="45"/>
      <c r="D55" s="22"/>
      <c r="E55" s="30">
        <v>0</v>
      </c>
      <c r="F55" s="22"/>
      <c r="G55" s="46"/>
      <c r="H55" s="47"/>
      <c r="I55" s="33" t="s">
        <v>186</v>
      </c>
      <c r="J55" s="22">
        <v>0</v>
      </c>
      <c r="K55" s="43"/>
      <c r="L55" s="35">
        <f t="shared" ref="L55" si="7">K55-G55</f>
        <v>0</v>
      </c>
      <c r="M55" s="30">
        <v>0</v>
      </c>
      <c r="N55" s="30">
        <f t="shared" ref="N55" si="8">F55-M55</f>
        <v>0</v>
      </c>
    </row>
    <row r="56" spans="1:14">
      <c r="A56" s="66" t="s">
        <v>5</v>
      </c>
      <c r="B56" s="44">
        <v>46204</v>
      </c>
      <c r="C56" s="45">
        <v>3416666.67</v>
      </c>
      <c r="D56" s="22">
        <v>3166665.89</v>
      </c>
      <c r="E56" s="22">
        <v>0</v>
      </c>
      <c r="F56" s="23">
        <v>3074999.27</v>
      </c>
      <c r="G56" s="39">
        <v>46236</v>
      </c>
      <c r="H56" s="25" t="s">
        <v>177</v>
      </c>
      <c r="I56" s="42">
        <f>G56+60</f>
        <v>46296</v>
      </c>
      <c r="J56" s="22">
        <v>0</v>
      </c>
      <c r="K56" s="43"/>
      <c r="L56" s="28">
        <f t="shared" ref="L56" si="9">K56-G56</f>
        <v>-46236</v>
      </c>
      <c r="M56" s="23">
        <v>0</v>
      </c>
      <c r="N56" s="23">
        <f t="shared" ref="N56" si="10">F56-M56</f>
        <v>3074999.27</v>
      </c>
    </row>
    <row r="57" spans="1:14">
      <c r="A57" s="65" t="s">
        <v>5</v>
      </c>
      <c r="B57" s="44">
        <v>46204</v>
      </c>
      <c r="C57" s="45"/>
      <c r="D57" s="22"/>
      <c r="E57" s="30">
        <v>0</v>
      </c>
      <c r="F57" s="22"/>
      <c r="G57" s="46"/>
      <c r="H57" s="47"/>
      <c r="I57" s="33" t="s">
        <v>186</v>
      </c>
      <c r="J57" s="22">
        <v>0</v>
      </c>
      <c r="K57" s="43"/>
      <c r="L57" s="35">
        <f t="shared" ref="L57" si="11">K57-G57</f>
        <v>0</v>
      </c>
      <c r="M57" s="30">
        <v>0</v>
      </c>
      <c r="N57" s="30">
        <f t="shared" ref="N57" si="12">F57-M57</f>
        <v>0</v>
      </c>
    </row>
    <row r="58" spans="1:14">
      <c r="A58" s="66" t="s">
        <v>22</v>
      </c>
      <c r="B58" s="21">
        <v>45657</v>
      </c>
      <c r="C58" s="23">
        <v>5387339</v>
      </c>
      <c r="D58" s="23">
        <v>5387339</v>
      </c>
      <c r="E58" s="23">
        <v>0</v>
      </c>
      <c r="F58" s="23">
        <v>5387339</v>
      </c>
      <c r="G58" s="24">
        <v>45677</v>
      </c>
      <c r="H58" s="25" t="s">
        <v>168</v>
      </c>
      <c r="I58" s="26" t="s">
        <v>186</v>
      </c>
      <c r="J58" s="23">
        <v>5387339</v>
      </c>
      <c r="K58" s="27">
        <v>45685</v>
      </c>
      <c r="L58" s="28">
        <f t="shared" si="1"/>
        <v>8</v>
      </c>
      <c r="M58" s="23">
        <v>0</v>
      </c>
      <c r="N58" s="23">
        <f t="shared" si="2"/>
        <v>5387339</v>
      </c>
    </row>
    <row r="59" spans="1:14">
      <c r="A59" s="65" t="s">
        <v>13</v>
      </c>
      <c r="B59" s="29">
        <v>45658</v>
      </c>
      <c r="C59" s="30">
        <v>1000000</v>
      </c>
      <c r="D59" s="30">
        <v>1000000</v>
      </c>
      <c r="E59" s="30">
        <v>0</v>
      </c>
      <c r="F59" s="30">
        <v>1000000</v>
      </c>
      <c r="G59" s="31">
        <v>45831</v>
      </c>
      <c r="H59" s="32" t="s">
        <v>169</v>
      </c>
      <c r="I59" s="33" t="s">
        <v>186</v>
      </c>
      <c r="J59" s="30">
        <v>1000000</v>
      </c>
      <c r="K59" s="34">
        <v>45875</v>
      </c>
      <c r="L59" s="35">
        <f t="shared" si="1"/>
        <v>44</v>
      </c>
      <c r="M59" s="30">
        <v>0</v>
      </c>
      <c r="N59" s="30">
        <f t="shared" si="2"/>
        <v>1000000</v>
      </c>
    </row>
    <row r="60" spans="1:14">
      <c r="A60" s="66" t="s">
        <v>13</v>
      </c>
      <c r="B60" s="21">
        <v>45689</v>
      </c>
      <c r="C60" s="23">
        <v>1000000</v>
      </c>
      <c r="D60" s="23">
        <v>1000000</v>
      </c>
      <c r="E60" s="23">
        <v>0</v>
      </c>
      <c r="F60" s="23">
        <v>1000000</v>
      </c>
      <c r="G60" s="24">
        <v>45831</v>
      </c>
      <c r="H60" s="25" t="s">
        <v>170</v>
      </c>
      <c r="I60" s="26" t="s">
        <v>186</v>
      </c>
      <c r="J60" s="23">
        <v>1000000</v>
      </c>
      <c r="K60" s="27">
        <v>45875</v>
      </c>
      <c r="L60" s="28">
        <f t="shared" si="1"/>
        <v>44</v>
      </c>
      <c r="M60" s="23">
        <v>0</v>
      </c>
      <c r="N60" s="23">
        <f t="shared" si="2"/>
        <v>1000000</v>
      </c>
    </row>
    <row r="61" spans="1:14">
      <c r="A61" s="65" t="s">
        <v>13</v>
      </c>
      <c r="B61" s="29">
        <v>45717</v>
      </c>
      <c r="C61" s="30">
        <v>1000000</v>
      </c>
      <c r="D61" s="30">
        <v>1000000</v>
      </c>
      <c r="E61" s="30">
        <v>0</v>
      </c>
      <c r="F61" s="30">
        <v>1000000</v>
      </c>
      <c r="G61" s="31">
        <v>45831</v>
      </c>
      <c r="H61" s="32" t="s">
        <v>171</v>
      </c>
      <c r="I61" s="33" t="s">
        <v>186</v>
      </c>
      <c r="J61" s="30">
        <v>1000000</v>
      </c>
      <c r="K61" s="34">
        <v>45875</v>
      </c>
      <c r="L61" s="35">
        <f t="shared" si="1"/>
        <v>44</v>
      </c>
      <c r="M61" s="30">
        <v>0</v>
      </c>
      <c r="N61" s="30">
        <f t="shared" si="2"/>
        <v>1000000</v>
      </c>
    </row>
    <row r="62" spans="1:14">
      <c r="A62" s="66" t="s">
        <v>13</v>
      </c>
      <c r="B62" s="21">
        <v>45748</v>
      </c>
      <c r="C62" s="23">
        <v>1000000</v>
      </c>
      <c r="D62" s="23">
        <v>1000000</v>
      </c>
      <c r="E62" s="23">
        <v>0</v>
      </c>
      <c r="F62" s="23">
        <v>1000000</v>
      </c>
      <c r="G62" s="24">
        <v>45832</v>
      </c>
      <c r="H62" s="25" t="s">
        <v>172</v>
      </c>
      <c r="I62" s="26" t="s">
        <v>186</v>
      </c>
      <c r="J62" s="23">
        <v>1000000</v>
      </c>
      <c r="K62" s="27">
        <v>45881</v>
      </c>
      <c r="L62" s="28">
        <f t="shared" si="1"/>
        <v>49</v>
      </c>
      <c r="M62" s="23">
        <v>0</v>
      </c>
      <c r="N62" s="23">
        <f t="shared" si="2"/>
        <v>1000000</v>
      </c>
    </row>
    <row r="63" spans="1:14">
      <c r="A63" s="65" t="s">
        <v>13</v>
      </c>
      <c r="B63" s="29">
        <v>45778</v>
      </c>
      <c r="C63" s="30">
        <v>1000000</v>
      </c>
      <c r="D63" s="30">
        <v>1000000</v>
      </c>
      <c r="E63" s="30">
        <v>0</v>
      </c>
      <c r="F63" s="30">
        <v>1000000</v>
      </c>
      <c r="G63" s="31">
        <v>45832</v>
      </c>
      <c r="H63" s="32" t="s">
        <v>173</v>
      </c>
      <c r="I63" s="33" t="s">
        <v>186</v>
      </c>
      <c r="J63" s="30">
        <v>1000000</v>
      </c>
      <c r="K63" s="34">
        <v>45875</v>
      </c>
      <c r="L63" s="35">
        <f t="shared" si="1"/>
        <v>43</v>
      </c>
      <c r="M63" s="30">
        <v>0</v>
      </c>
      <c r="N63" s="30">
        <f t="shared" si="2"/>
        <v>1000000</v>
      </c>
    </row>
    <row r="64" spans="1:14">
      <c r="A64" s="66" t="s">
        <v>13</v>
      </c>
      <c r="B64" s="21">
        <v>45809</v>
      </c>
      <c r="C64" s="23">
        <v>1000000</v>
      </c>
      <c r="D64" s="23">
        <v>914427.98</v>
      </c>
      <c r="E64" s="23">
        <v>85572.020000000019</v>
      </c>
      <c r="F64" s="23">
        <v>914427.98</v>
      </c>
      <c r="G64" s="24">
        <v>45860</v>
      </c>
      <c r="H64" s="25" t="s">
        <v>32</v>
      </c>
      <c r="I64" s="26" t="s">
        <v>186</v>
      </c>
      <c r="J64" s="23">
        <v>914427.98</v>
      </c>
      <c r="K64" s="27">
        <v>45910</v>
      </c>
      <c r="L64" s="28">
        <f t="shared" si="1"/>
        <v>50</v>
      </c>
      <c r="M64" s="23">
        <v>0</v>
      </c>
      <c r="N64" s="23">
        <f t="shared" si="2"/>
        <v>914427.98</v>
      </c>
    </row>
    <row r="65" spans="1:14">
      <c r="A65" s="65" t="s">
        <v>13</v>
      </c>
      <c r="B65" s="29">
        <v>45839</v>
      </c>
      <c r="C65" s="30">
        <v>1000000</v>
      </c>
      <c r="D65" s="30">
        <v>977828.42</v>
      </c>
      <c r="E65" s="30">
        <v>22171.579999999958</v>
      </c>
      <c r="F65" s="30">
        <v>977828.42</v>
      </c>
      <c r="G65" s="31">
        <v>45922</v>
      </c>
      <c r="H65" s="32" t="s">
        <v>57</v>
      </c>
      <c r="I65" s="33" t="s">
        <v>186</v>
      </c>
      <c r="J65" s="30">
        <v>977828.42</v>
      </c>
      <c r="K65" s="33">
        <v>45999</v>
      </c>
      <c r="L65" s="35">
        <f t="shared" si="1"/>
        <v>77</v>
      </c>
      <c r="M65" s="30">
        <v>0</v>
      </c>
      <c r="N65" s="30">
        <f t="shared" si="2"/>
        <v>977828.42</v>
      </c>
    </row>
    <row r="66" spans="1:14">
      <c r="A66" s="66" t="s">
        <v>13</v>
      </c>
      <c r="B66" s="21">
        <v>45870</v>
      </c>
      <c r="C66" s="23">
        <v>1000000</v>
      </c>
      <c r="D66" s="23">
        <v>1000000</v>
      </c>
      <c r="E66" s="23">
        <v>0</v>
      </c>
      <c r="F66" s="23">
        <v>1000000</v>
      </c>
      <c r="G66" s="24">
        <v>45930</v>
      </c>
      <c r="H66" s="25" t="s">
        <v>78</v>
      </c>
      <c r="I66" s="26" t="s">
        <v>186</v>
      </c>
      <c r="J66" s="23">
        <v>1000000</v>
      </c>
      <c r="K66" s="26">
        <v>45999</v>
      </c>
      <c r="L66" s="28">
        <f t="shared" si="1"/>
        <v>69</v>
      </c>
      <c r="M66" s="23">
        <v>0</v>
      </c>
      <c r="N66" s="23">
        <f t="shared" si="2"/>
        <v>1000000</v>
      </c>
    </row>
    <row r="67" spans="1:14">
      <c r="A67" s="65" t="s">
        <v>13</v>
      </c>
      <c r="B67" s="29">
        <v>45901</v>
      </c>
      <c r="C67" s="30">
        <v>1000000</v>
      </c>
      <c r="D67" s="30">
        <v>1000000</v>
      </c>
      <c r="E67" s="30">
        <v>0</v>
      </c>
      <c r="F67" s="30">
        <v>1000000</v>
      </c>
      <c r="G67" s="31">
        <v>45964</v>
      </c>
      <c r="H67" s="32" t="s">
        <v>82</v>
      </c>
      <c r="I67" s="33" t="s">
        <v>186</v>
      </c>
      <c r="J67" s="30">
        <v>1000000</v>
      </c>
      <c r="K67" s="33">
        <v>46056</v>
      </c>
      <c r="L67" s="35">
        <f t="shared" si="1"/>
        <v>92</v>
      </c>
      <c r="M67" s="30">
        <v>0</v>
      </c>
      <c r="N67" s="30">
        <f t="shared" si="2"/>
        <v>1000000</v>
      </c>
    </row>
    <row r="68" spans="1:14">
      <c r="A68" s="66" t="s">
        <v>13</v>
      </c>
      <c r="B68" s="21">
        <v>45931</v>
      </c>
      <c r="C68" s="23">
        <v>1000000</v>
      </c>
      <c r="D68" s="23">
        <v>1000000</v>
      </c>
      <c r="E68" s="23">
        <v>0</v>
      </c>
      <c r="F68" s="23">
        <v>1000000</v>
      </c>
      <c r="G68" s="24">
        <v>45995</v>
      </c>
      <c r="H68" s="25" t="s">
        <v>83</v>
      </c>
      <c r="I68" s="26" t="s">
        <v>186</v>
      </c>
      <c r="J68" s="23">
        <v>1000000</v>
      </c>
      <c r="K68" s="26">
        <v>46043</v>
      </c>
      <c r="L68" s="28">
        <f t="shared" si="1"/>
        <v>48</v>
      </c>
      <c r="M68" s="23">
        <v>0</v>
      </c>
      <c r="N68" s="23">
        <f t="shared" si="2"/>
        <v>1000000</v>
      </c>
    </row>
    <row r="69" spans="1:14">
      <c r="A69" s="65" t="s">
        <v>13</v>
      </c>
      <c r="B69" s="29">
        <v>45962</v>
      </c>
      <c r="C69" s="30">
        <v>1000000</v>
      </c>
      <c r="D69" s="30">
        <v>1000000</v>
      </c>
      <c r="E69" s="30">
        <v>0</v>
      </c>
      <c r="F69" s="30">
        <v>1000000</v>
      </c>
      <c r="G69" s="31">
        <v>46022</v>
      </c>
      <c r="H69" s="32" t="s">
        <v>87</v>
      </c>
      <c r="I69" s="33" t="s">
        <v>186</v>
      </c>
      <c r="J69" s="30">
        <v>1000000</v>
      </c>
      <c r="K69" s="33">
        <v>46076</v>
      </c>
      <c r="L69" s="35">
        <f t="shared" si="1"/>
        <v>54</v>
      </c>
      <c r="M69" s="30">
        <v>0</v>
      </c>
      <c r="N69" s="30">
        <f t="shared" si="2"/>
        <v>1000000</v>
      </c>
    </row>
    <row r="70" spans="1:14">
      <c r="A70" s="66" t="s">
        <v>13</v>
      </c>
      <c r="B70" s="21">
        <v>45992</v>
      </c>
      <c r="C70" s="23">
        <v>1000000</v>
      </c>
      <c r="D70" s="23">
        <v>1107743.6000000001</v>
      </c>
      <c r="E70" s="23">
        <v>0</v>
      </c>
      <c r="F70" s="23">
        <v>1107743.6000000001</v>
      </c>
      <c r="G70" s="24">
        <v>46069</v>
      </c>
      <c r="H70" s="25" t="s">
        <v>108</v>
      </c>
      <c r="I70" s="26" t="s">
        <v>186</v>
      </c>
      <c r="J70" s="23">
        <v>1107743.6000000001</v>
      </c>
      <c r="K70" s="27">
        <v>46127</v>
      </c>
      <c r="L70" s="28">
        <f t="shared" si="1"/>
        <v>58</v>
      </c>
      <c r="M70" s="23">
        <v>0</v>
      </c>
      <c r="N70" s="23">
        <f t="shared" ref="N70:N103" si="13">F70-M70</f>
        <v>1107743.6000000001</v>
      </c>
    </row>
    <row r="71" spans="1:14">
      <c r="A71" s="65" t="s">
        <v>89</v>
      </c>
      <c r="B71" s="29">
        <v>46023</v>
      </c>
      <c r="C71" s="30">
        <v>1200000</v>
      </c>
      <c r="D71" s="30">
        <v>1200000</v>
      </c>
      <c r="E71" s="30">
        <v>0</v>
      </c>
      <c r="F71" s="30">
        <v>1200000</v>
      </c>
      <c r="G71" s="31">
        <v>46117</v>
      </c>
      <c r="H71" s="32" t="s">
        <v>94</v>
      </c>
      <c r="I71" s="33" t="s">
        <v>186</v>
      </c>
      <c r="J71" s="30">
        <v>1200000</v>
      </c>
      <c r="K71" s="34">
        <v>46161</v>
      </c>
      <c r="L71" s="35">
        <f t="shared" si="1"/>
        <v>44</v>
      </c>
      <c r="M71" s="30">
        <v>0</v>
      </c>
      <c r="N71" s="30">
        <f t="shared" si="13"/>
        <v>1200000</v>
      </c>
    </row>
    <row r="72" spans="1:14">
      <c r="A72" s="66" t="s">
        <v>89</v>
      </c>
      <c r="B72" s="21">
        <v>46054</v>
      </c>
      <c r="C72" s="23">
        <v>1200000</v>
      </c>
      <c r="D72" s="23">
        <v>1096352.94</v>
      </c>
      <c r="E72" s="23">
        <v>103647.06000000006</v>
      </c>
      <c r="F72" s="23">
        <v>1096352.94</v>
      </c>
      <c r="G72" s="24">
        <v>46117</v>
      </c>
      <c r="H72" s="25" t="s">
        <v>96</v>
      </c>
      <c r="I72" s="26" t="s">
        <v>186</v>
      </c>
      <c r="J72" s="23">
        <v>1096352.94</v>
      </c>
      <c r="K72" s="26">
        <v>46183</v>
      </c>
      <c r="L72" s="28">
        <f t="shared" si="1"/>
        <v>66</v>
      </c>
      <c r="M72" s="23">
        <v>0</v>
      </c>
      <c r="N72" s="23">
        <f t="shared" si="13"/>
        <v>1096352.94</v>
      </c>
    </row>
    <row r="73" spans="1:14">
      <c r="A73" s="65" t="s">
        <v>89</v>
      </c>
      <c r="B73" s="29">
        <v>46082</v>
      </c>
      <c r="C73" s="30">
        <v>1200000</v>
      </c>
      <c r="D73" s="30">
        <v>1200000</v>
      </c>
      <c r="E73" s="30">
        <v>0</v>
      </c>
      <c r="F73" s="30">
        <v>1200000</v>
      </c>
      <c r="G73" s="31">
        <v>46135</v>
      </c>
      <c r="H73" s="32" t="s">
        <v>103</v>
      </c>
      <c r="I73" s="33" t="s">
        <v>186</v>
      </c>
      <c r="J73" s="30">
        <v>1200000</v>
      </c>
      <c r="K73" s="33">
        <v>46183</v>
      </c>
      <c r="L73" s="35">
        <f t="shared" ref="L73:L142" si="14">K73-G73</f>
        <v>48</v>
      </c>
      <c r="M73" s="30">
        <v>0</v>
      </c>
      <c r="N73" s="30">
        <f t="shared" si="13"/>
        <v>1200000</v>
      </c>
    </row>
    <row r="74" spans="1:14">
      <c r="A74" s="66" t="s">
        <v>89</v>
      </c>
      <c r="B74" s="21">
        <v>46113</v>
      </c>
      <c r="C74" s="23">
        <v>1200000</v>
      </c>
      <c r="D74" s="23">
        <v>1200000</v>
      </c>
      <c r="E74" s="23">
        <v>0</v>
      </c>
      <c r="F74" s="23">
        <v>1200000</v>
      </c>
      <c r="G74" s="24">
        <v>46155</v>
      </c>
      <c r="H74" s="25" t="s">
        <v>111</v>
      </c>
      <c r="I74" s="26" t="s">
        <v>186</v>
      </c>
      <c r="J74" s="23">
        <v>1200000</v>
      </c>
      <c r="K74" s="26">
        <v>46205</v>
      </c>
      <c r="L74" s="28">
        <f>K74-G74</f>
        <v>50</v>
      </c>
      <c r="M74" s="23">
        <v>0</v>
      </c>
      <c r="N74" s="23">
        <f t="shared" si="13"/>
        <v>1200000</v>
      </c>
    </row>
    <row r="75" spans="1:14">
      <c r="A75" s="65" t="s">
        <v>89</v>
      </c>
      <c r="B75" s="29">
        <v>46143</v>
      </c>
      <c r="C75" s="30">
        <v>1200000</v>
      </c>
      <c r="D75" s="30">
        <v>1200000</v>
      </c>
      <c r="E75" s="30">
        <v>0</v>
      </c>
      <c r="F75" s="30">
        <v>1200000</v>
      </c>
      <c r="G75" s="31">
        <v>46201</v>
      </c>
      <c r="H75" s="32" t="s">
        <v>124</v>
      </c>
      <c r="I75" s="48">
        <f>G75+60</f>
        <v>46261</v>
      </c>
      <c r="J75" s="22">
        <v>0</v>
      </c>
      <c r="K75" s="43"/>
      <c r="L75" s="35">
        <f t="shared" si="14"/>
        <v>-46201</v>
      </c>
      <c r="M75" s="22">
        <v>0</v>
      </c>
      <c r="N75" s="30">
        <f t="shared" si="13"/>
        <v>1200000</v>
      </c>
    </row>
    <row r="76" spans="1:14" s="7" customFormat="1">
      <c r="A76" s="66" t="s">
        <v>89</v>
      </c>
      <c r="B76" s="21">
        <v>46174</v>
      </c>
      <c r="C76" s="23">
        <v>1200000</v>
      </c>
      <c r="D76" s="23">
        <v>1200000</v>
      </c>
      <c r="E76" s="23">
        <v>0</v>
      </c>
      <c r="F76" s="23">
        <v>1200000</v>
      </c>
      <c r="G76" s="24">
        <v>46237</v>
      </c>
      <c r="H76" s="25" t="s">
        <v>179</v>
      </c>
      <c r="I76" s="48">
        <f>G76+60</f>
        <v>46297</v>
      </c>
      <c r="J76" s="45">
        <v>0</v>
      </c>
      <c r="K76" s="48"/>
      <c r="L76" s="49">
        <f t="shared" ref="L76" si="15">K76-G76</f>
        <v>-46237</v>
      </c>
      <c r="M76" s="45">
        <v>0</v>
      </c>
      <c r="N76" s="45">
        <f t="shared" ref="N76" si="16">F76-M76</f>
        <v>1200000</v>
      </c>
    </row>
    <row r="77" spans="1:14" s="7" customFormat="1">
      <c r="A77" s="67" t="s">
        <v>89</v>
      </c>
      <c r="B77" s="44">
        <v>46204</v>
      </c>
      <c r="C77" s="45">
        <v>1200000</v>
      </c>
      <c r="D77" s="22">
        <v>1200000</v>
      </c>
      <c r="E77" s="45">
        <v>0</v>
      </c>
      <c r="F77" s="45"/>
      <c r="G77" s="42"/>
      <c r="H77" s="50"/>
      <c r="I77" s="33" t="s">
        <v>186</v>
      </c>
      <c r="J77" s="45">
        <v>0</v>
      </c>
      <c r="K77" s="48"/>
      <c r="L77" s="49">
        <f t="shared" ref="L77" si="17">K77-G77</f>
        <v>0</v>
      </c>
      <c r="M77" s="45">
        <v>0</v>
      </c>
      <c r="N77" s="45">
        <f t="shared" ref="N77" si="18">F77-M77</f>
        <v>0</v>
      </c>
    </row>
    <row r="78" spans="1:14">
      <c r="A78" s="66" t="s">
        <v>4</v>
      </c>
      <c r="B78" s="21">
        <v>45200</v>
      </c>
      <c r="C78" s="23">
        <v>1250000.05</v>
      </c>
      <c r="D78" s="23">
        <v>684981.25730000006</v>
      </c>
      <c r="E78" s="23">
        <v>342.66279999993299</v>
      </c>
      <c r="F78" s="23">
        <v>684981.25730000006</v>
      </c>
      <c r="G78" s="24">
        <v>45379</v>
      </c>
      <c r="H78" s="25" t="s">
        <v>38</v>
      </c>
      <c r="I78" s="26" t="s">
        <v>186</v>
      </c>
      <c r="J78" s="23">
        <v>678402.14425652183</v>
      </c>
      <c r="K78" s="27">
        <v>45449</v>
      </c>
      <c r="L78" s="28">
        <f t="shared" si="14"/>
        <v>70</v>
      </c>
      <c r="M78" s="23">
        <v>7565.98</v>
      </c>
      <c r="N78" s="23">
        <f t="shared" si="13"/>
        <v>677415.27730000007</v>
      </c>
    </row>
    <row r="79" spans="1:14">
      <c r="A79" s="65" t="s">
        <v>4</v>
      </c>
      <c r="B79" s="29">
        <v>45231</v>
      </c>
      <c r="C79" s="30">
        <v>1250000.05</v>
      </c>
      <c r="D79" s="30">
        <v>1249657.3855999999</v>
      </c>
      <c r="E79" s="30">
        <v>342.662800000049</v>
      </c>
      <c r="F79" s="30">
        <v>1249657.3855999999</v>
      </c>
      <c r="G79" s="31">
        <v>45379</v>
      </c>
      <c r="H79" s="32" t="s">
        <v>39</v>
      </c>
      <c r="I79" s="33" t="s">
        <v>186</v>
      </c>
      <c r="J79" s="30">
        <v>1229657.3855999999</v>
      </c>
      <c r="K79" s="34">
        <v>45449</v>
      </c>
      <c r="L79" s="35">
        <f t="shared" si="14"/>
        <v>70</v>
      </c>
      <c r="M79" s="30">
        <v>23000</v>
      </c>
      <c r="N79" s="30">
        <f t="shared" si="13"/>
        <v>1226657.3855999999</v>
      </c>
    </row>
    <row r="80" spans="1:14">
      <c r="A80" s="66" t="s">
        <v>4</v>
      </c>
      <c r="B80" s="21">
        <v>45261</v>
      </c>
      <c r="C80" s="23">
        <v>1250000.05</v>
      </c>
      <c r="D80" s="23">
        <v>1249092.7075</v>
      </c>
      <c r="E80" s="23">
        <v>907.34089999995103</v>
      </c>
      <c r="F80" s="23">
        <v>1249092.7075</v>
      </c>
      <c r="G80" s="24">
        <v>45399</v>
      </c>
      <c r="H80" s="25" t="s">
        <v>40</v>
      </c>
      <c r="I80" s="26" t="s">
        <v>186</v>
      </c>
      <c r="J80" s="23">
        <v>1229092.7075</v>
      </c>
      <c r="K80" s="27">
        <v>45454</v>
      </c>
      <c r="L80" s="28">
        <f t="shared" si="14"/>
        <v>55</v>
      </c>
      <c r="M80" s="23">
        <v>23000</v>
      </c>
      <c r="N80" s="23">
        <f t="shared" si="13"/>
        <v>1226092.7075</v>
      </c>
    </row>
    <row r="81" spans="1:14">
      <c r="A81" s="65" t="s">
        <v>4</v>
      </c>
      <c r="B81" s="29">
        <v>45292</v>
      </c>
      <c r="C81" s="30">
        <v>1250000.05</v>
      </c>
      <c r="D81" s="30">
        <v>1249375.0499750001</v>
      </c>
      <c r="E81" s="30">
        <v>625.00002499995753</v>
      </c>
      <c r="F81" s="30">
        <v>1249375.0499750001</v>
      </c>
      <c r="G81" s="31">
        <v>45544</v>
      </c>
      <c r="H81" s="32" t="s">
        <v>41</v>
      </c>
      <c r="I81" s="33" t="s">
        <v>186</v>
      </c>
      <c r="J81" s="30">
        <v>1236875.0478999999</v>
      </c>
      <c r="K81" s="34">
        <v>45544</v>
      </c>
      <c r="L81" s="35">
        <f t="shared" si="14"/>
        <v>0</v>
      </c>
      <c r="M81" s="30">
        <v>12000</v>
      </c>
      <c r="N81" s="30">
        <f t="shared" si="13"/>
        <v>1237375.0499750001</v>
      </c>
    </row>
    <row r="82" spans="1:14">
      <c r="A82" s="66" t="s">
        <v>4</v>
      </c>
      <c r="B82" s="21">
        <v>45323</v>
      </c>
      <c r="C82" s="23">
        <v>1250000.05</v>
      </c>
      <c r="D82" s="23">
        <v>1249375.0499750001</v>
      </c>
      <c r="E82" s="23">
        <v>625.00002499995696</v>
      </c>
      <c r="F82" s="23">
        <v>1249375.0499750001</v>
      </c>
      <c r="G82" s="24">
        <v>45488</v>
      </c>
      <c r="H82" s="25" t="s">
        <v>37</v>
      </c>
      <c r="I82" s="26" t="s">
        <v>186</v>
      </c>
      <c r="J82" s="23">
        <v>1229375.0478999999</v>
      </c>
      <c r="K82" s="27">
        <v>45544</v>
      </c>
      <c r="L82" s="28">
        <f t="shared" si="14"/>
        <v>56</v>
      </c>
      <c r="M82" s="23">
        <v>20000</v>
      </c>
      <c r="N82" s="23">
        <f t="shared" si="13"/>
        <v>1229375.0499750001</v>
      </c>
    </row>
    <row r="83" spans="1:14">
      <c r="A83" s="65" t="s">
        <v>4</v>
      </c>
      <c r="B83" s="29">
        <v>45352</v>
      </c>
      <c r="C83" s="30">
        <v>1250000.05</v>
      </c>
      <c r="D83" s="30">
        <v>1249375.0478999999</v>
      </c>
      <c r="E83" s="30">
        <v>625.00210000015795</v>
      </c>
      <c r="F83" s="30">
        <v>1249375.0478999999</v>
      </c>
      <c r="G83" s="31">
        <v>45522</v>
      </c>
      <c r="H83" s="32" t="s">
        <v>42</v>
      </c>
      <c r="I83" s="33" t="s">
        <v>186</v>
      </c>
      <c r="J83" s="30">
        <v>1229375.0478999999</v>
      </c>
      <c r="K83" s="34">
        <v>45580</v>
      </c>
      <c r="L83" s="35">
        <f t="shared" si="14"/>
        <v>58</v>
      </c>
      <c r="M83" s="30">
        <v>20000.000800000002</v>
      </c>
      <c r="N83" s="30">
        <f t="shared" si="13"/>
        <v>1229375.0470999999</v>
      </c>
    </row>
    <row r="84" spans="1:14">
      <c r="A84" s="66" t="s">
        <v>4</v>
      </c>
      <c r="B84" s="21">
        <v>45383</v>
      </c>
      <c r="C84" s="23">
        <v>1250000.05</v>
      </c>
      <c r="D84" s="23">
        <v>1249375.0478999999</v>
      </c>
      <c r="E84" s="23">
        <v>625.00210000015795</v>
      </c>
      <c r="F84" s="23">
        <v>1249375.0478999999</v>
      </c>
      <c r="G84" s="24">
        <v>45522</v>
      </c>
      <c r="H84" s="51" t="s">
        <v>43</v>
      </c>
      <c r="I84" s="26" t="s">
        <v>186</v>
      </c>
      <c r="J84" s="23">
        <v>1236875.0478999999</v>
      </c>
      <c r="K84" s="27">
        <v>45580</v>
      </c>
      <c r="L84" s="28">
        <f t="shared" si="14"/>
        <v>58</v>
      </c>
      <c r="M84" s="23">
        <v>12000</v>
      </c>
      <c r="N84" s="23">
        <f t="shared" si="13"/>
        <v>1237375.0478999999</v>
      </c>
    </row>
    <row r="85" spans="1:14">
      <c r="A85" s="65" t="s">
        <v>4</v>
      </c>
      <c r="B85" s="29">
        <v>45413</v>
      </c>
      <c r="C85" s="30">
        <v>1250000.05</v>
      </c>
      <c r="D85" s="30">
        <v>1249375.0478999999</v>
      </c>
      <c r="E85" s="30">
        <v>625.00210000015795</v>
      </c>
      <c r="F85" s="30">
        <v>1249375.0478999999</v>
      </c>
      <c r="G85" s="31">
        <v>45522</v>
      </c>
      <c r="H85" s="52" t="s">
        <v>44</v>
      </c>
      <c r="I85" s="33" t="s">
        <v>186</v>
      </c>
      <c r="J85" s="30">
        <v>1236875.0478999999</v>
      </c>
      <c r="K85" s="34">
        <v>45580</v>
      </c>
      <c r="L85" s="35">
        <f t="shared" si="14"/>
        <v>58</v>
      </c>
      <c r="M85" s="30">
        <v>12000.000480000001</v>
      </c>
      <c r="N85" s="30">
        <f t="shared" si="13"/>
        <v>1237375.04742</v>
      </c>
    </row>
    <row r="86" spans="1:14">
      <c r="A86" s="66" t="s">
        <v>4</v>
      </c>
      <c r="B86" s="21">
        <v>45444</v>
      </c>
      <c r="C86" s="23">
        <v>1250000.05</v>
      </c>
      <c r="D86" s="23">
        <v>1249375.0499750001</v>
      </c>
      <c r="E86" s="23">
        <v>625.00002499995753</v>
      </c>
      <c r="F86" s="23">
        <v>1249375.0499750001</v>
      </c>
      <c r="G86" s="24">
        <v>45560</v>
      </c>
      <c r="H86" s="51" t="s">
        <v>45</v>
      </c>
      <c r="I86" s="26" t="s">
        <v>186</v>
      </c>
      <c r="J86" s="23">
        <v>1236875.05</v>
      </c>
      <c r="K86" s="27">
        <v>45621</v>
      </c>
      <c r="L86" s="28">
        <f t="shared" si="14"/>
        <v>61</v>
      </c>
      <c r="M86" s="23">
        <v>12000.000480000001</v>
      </c>
      <c r="N86" s="23">
        <f t="shared" si="13"/>
        <v>1237375.0494950002</v>
      </c>
    </row>
    <row r="87" spans="1:14">
      <c r="A87" s="65" t="s">
        <v>4</v>
      </c>
      <c r="B87" s="29">
        <v>45474</v>
      </c>
      <c r="C87" s="30">
        <v>1250000.05</v>
      </c>
      <c r="D87" s="30">
        <v>1248625.0499450001</v>
      </c>
      <c r="E87" s="30">
        <v>1375.0000549999531</v>
      </c>
      <c r="F87" s="30">
        <v>1248625.0499450001</v>
      </c>
      <c r="G87" s="31">
        <v>45560</v>
      </c>
      <c r="H87" s="52" t="s">
        <v>46</v>
      </c>
      <c r="I87" s="33" t="s">
        <v>186</v>
      </c>
      <c r="J87" s="30">
        <v>1242375.05</v>
      </c>
      <c r="K87" s="34">
        <v>45621</v>
      </c>
      <c r="L87" s="35">
        <f t="shared" si="14"/>
        <v>61</v>
      </c>
      <c r="M87" s="30">
        <v>6250</v>
      </c>
      <c r="N87" s="30">
        <f t="shared" si="13"/>
        <v>1242375.0499450001</v>
      </c>
    </row>
    <row r="88" spans="1:14">
      <c r="A88" s="66" t="s">
        <v>4</v>
      </c>
      <c r="B88" s="21">
        <v>45505</v>
      </c>
      <c r="C88" s="23">
        <v>1250000.05</v>
      </c>
      <c r="D88" s="23">
        <v>1249375.05</v>
      </c>
      <c r="E88" s="23">
        <v>625</v>
      </c>
      <c r="F88" s="23">
        <v>1249375.05</v>
      </c>
      <c r="G88" s="24">
        <v>45594</v>
      </c>
      <c r="H88" s="51" t="s">
        <v>47</v>
      </c>
      <c r="I88" s="26" t="s">
        <v>186</v>
      </c>
      <c r="J88" s="23">
        <v>1243375.0478999999</v>
      </c>
      <c r="K88" s="27">
        <v>45649</v>
      </c>
      <c r="L88" s="28">
        <f t="shared" si="14"/>
        <v>55</v>
      </c>
      <c r="M88" s="23">
        <v>6000</v>
      </c>
      <c r="N88" s="23">
        <f t="shared" si="13"/>
        <v>1243375.05</v>
      </c>
    </row>
    <row r="89" spans="1:14">
      <c r="A89" s="65" t="s">
        <v>4</v>
      </c>
      <c r="B89" s="29">
        <v>45536</v>
      </c>
      <c r="C89" s="30">
        <v>1250000.05</v>
      </c>
      <c r="D89" s="30">
        <v>1249375.05</v>
      </c>
      <c r="E89" s="30">
        <v>625</v>
      </c>
      <c r="F89" s="30">
        <v>1249375.05</v>
      </c>
      <c r="G89" s="31">
        <v>45620</v>
      </c>
      <c r="H89" s="32" t="s">
        <v>14</v>
      </c>
      <c r="I89" s="33" t="s">
        <v>186</v>
      </c>
      <c r="J89" s="30">
        <v>1243375.052173913</v>
      </c>
      <c r="K89" s="34">
        <v>45677</v>
      </c>
      <c r="L89" s="35">
        <f t="shared" si="14"/>
        <v>57</v>
      </c>
      <c r="M89" s="30">
        <v>6000</v>
      </c>
      <c r="N89" s="30">
        <f t="shared" si="13"/>
        <v>1243375.05</v>
      </c>
    </row>
    <row r="90" spans="1:14">
      <c r="A90" s="66" t="s">
        <v>4</v>
      </c>
      <c r="B90" s="21">
        <v>45566</v>
      </c>
      <c r="C90" s="23">
        <v>1250000.05</v>
      </c>
      <c r="D90" s="23">
        <v>1232580.9000000001</v>
      </c>
      <c r="E90" s="23">
        <v>17419.150000000001</v>
      </c>
      <c r="F90" s="23">
        <v>1232580.8999999999</v>
      </c>
      <c r="G90" s="24">
        <v>45713</v>
      </c>
      <c r="H90" s="25" t="s">
        <v>15</v>
      </c>
      <c r="I90" s="26" t="s">
        <v>186</v>
      </c>
      <c r="J90" s="23">
        <v>1232580.8999999999</v>
      </c>
      <c r="K90" s="27">
        <v>45778</v>
      </c>
      <c r="L90" s="28">
        <f t="shared" si="14"/>
        <v>65</v>
      </c>
      <c r="M90" s="23">
        <v>6000</v>
      </c>
      <c r="N90" s="23">
        <f t="shared" si="13"/>
        <v>1226580.8999999999</v>
      </c>
    </row>
    <row r="91" spans="1:14">
      <c r="A91" s="65" t="s">
        <v>4</v>
      </c>
      <c r="B91" s="29">
        <v>45597</v>
      </c>
      <c r="C91" s="30">
        <v>1250000.05</v>
      </c>
      <c r="D91" s="30">
        <v>1247687.55</v>
      </c>
      <c r="E91" s="30">
        <v>2312.5</v>
      </c>
      <c r="F91" s="30">
        <v>1247687.55</v>
      </c>
      <c r="G91" s="31">
        <v>45761</v>
      </c>
      <c r="H91" s="32" t="s">
        <v>23</v>
      </c>
      <c r="I91" s="33" t="s">
        <v>186</v>
      </c>
      <c r="J91" s="30">
        <v>1241687.55</v>
      </c>
      <c r="K91" s="34">
        <v>45811</v>
      </c>
      <c r="L91" s="35">
        <f t="shared" si="14"/>
        <v>50</v>
      </c>
      <c r="M91" s="30">
        <v>6000</v>
      </c>
      <c r="N91" s="30">
        <f t="shared" si="13"/>
        <v>1241687.55</v>
      </c>
    </row>
    <row r="92" spans="1:14">
      <c r="A92" s="66" t="s">
        <v>4</v>
      </c>
      <c r="B92" s="21">
        <v>45627</v>
      </c>
      <c r="C92" s="23">
        <v>1250000.05</v>
      </c>
      <c r="D92" s="23">
        <v>1249062.55</v>
      </c>
      <c r="E92" s="23">
        <v>937.5</v>
      </c>
      <c r="F92" s="23">
        <v>1249062.55</v>
      </c>
      <c r="G92" s="24">
        <v>45742</v>
      </c>
      <c r="H92" s="25" t="s">
        <v>16</v>
      </c>
      <c r="I92" s="26" t="s">
        <v>186</v>
      </c>
      <c r="J92" s="23">
        <v>1243062.5482999999</v>
      </c>
      <c r="K92" s="27">
        <v>45798</v>
      </c>
      <c r="L92" s="28">
        <f t="shared" si="14"/>
        <v>56</v>
      </c>
      <c r="M92" s="23">
        <v>6000</v>
      </c>
      <c r="N92" s="23">
        <f t="shared" si="13"/>
        <v>1243062.55</v>
      </c>
    </row>
    <row r="93" spans="1:14" ht="15" customHeight="1">
      <c r="A93" s="65" t="s">
        <v>4</v>
      </c>
      <c r="B93" s="29">
        <v>45658</v>
      </c>
      <c r="C93" s="30">
        <v>1250000.0500000007</v>
      </c>
      <c r="D93" s="30">
        <v>1250000.05</v>
      </c>
      <c r="E93" s="30">
        <v>0</v>
      </c>
      <c r="F93" s="30">
        <v>1250000.05</v>
      </c>
      <c r="G93" s="31">
        <v>45798</v>
      </c>
      <c r="H93" s="32" t="s">
        <v>9</v>
      </c>
      <c r="I93" s="33" t="s">
        <v>186</v>
      </c>
      <c r="J93" s="30">
        <v>1250000.05</v>
      </c>
      <c r="K93" s="34">
        <v>45863</v>
      </c>
      <c r="L93" s="35">
        <f t="shared" si="14"/>
        <v>65</v>
      </c>
      <c r="M93" s="30">
        <v>6000</v>
      </c>
      <c r="N93" s="30">
        <f t="shared" si="13"/>
        <v>1244000.05</v>
      </c>
    </row>
    <row r="94" spans="1:14">
      <c r="A94" s="66" t="s">
        <v>4</v>
      </c>
      <c r="B94" s="21">
        <v>45689</v>
      </c>
      <c r="C94" s="23">
        <v>1250000.0500000007</v>
      </c>
      <c r="D94" s="23">
        <v>1249875.05</v>
      </c>
      <c r="E94" s="23">
        <v>125.00000000069849</v>
      </c>
      <c r="F94" s="23">
        <v>1249875.05</v>
      </c>
      <c r="G94" s="24">
        <v>45809</v>
      </c>
      <c r="H94" s="25" t="s">
        <v>10</v>
      </c>
      <c r="I94" s="26" t="s">
        <v>186</v>
      </c>
      <c r="J94" s="23">
        <v>1249875.05</v>
      </c>
      <c r="K94" s="27">
        <v>45863</v>
      </c>
      <c r="L94" s="28">
        <f t="shared" si="14"/>
        <v>54</v>
      </c>
      <c r="M94" s="23">
        <v>12000</v>
      </c>
      <c r="N94" s="23">
        <f t="shared" si="13"/>
        <v>1237875.05</v>
      </c>
    </row>
    <row r="95" spans="1:14">
      <c r="A95" s="65" t="s">
        <v>4</v>
      </c>
      <c r="B95" s="29">
        <v>45717</v>
      </c>
      <c r="C95" s="30">
        <v>1250000.0500000007</v>
      </c>
      <c r="D95" s="30">
        <v>1250000.05</v>
      </c>
      <c r="E95" s="30">
        <v>0</v>
      </c>
      <c r="F95" s="30">
        <v>1250000.05</v>
      </c>
      <c r="G95" s="31">
        <v>45809</v>
      </c>
      <c r="H95" s="32" t="s">
        <v>11</v>
      </c>
      <c r="I95" s="33" t="s">
        <v>186</v>
      </c>
      <c r="J95" s="30">
        <v>1250000.05</v>
      </c>
      <c r="K95" s="34">
        <v>45863</v>
      </c>
      <c r="L95" s="35">
        <f t="shared" si="14"/>
        <v>54</v>
      </c>
      <c r="M95" s="30">
        <v>6000</v>
      </c>
      <c r="N95" s="30">
        <f t="shared" si="13"/>
        <v>1244000.05</v>
      </c>
    </row>
    <row r="96" spans="1:14">
      <c r="A96" s="66" t="s">
        <v>4</v>
      </c>
      <c r="B96" s="21">
        <v>45748</v>
      </c>
      <c r="C96" s="23">
        <v>1250000.0500000007</v>
      </c>
      <c r="D96" s="23">
        <v>1249937.55</v>
      </c>
      <c r="E96" s="23">
        <v>62.500000000698492</v>
      </c>
      <c r="F96" s="23">
        <v>1249937.55</v>
      </c>
      <c r="G96" s="24">
        <v>45831</v>
      </c>
      <c r="H96" s="25" t="s">
        <v>12</v>
      </c>
      <c r="I96" s="26" t="s">
        <v>186</v>
      </c>
      <c r="J96" s="23">
        <v>1249937.55</v>
      </c>
      <c r="K96" s="27">
        <v>45888</v>
      </c>
      <c r="L96" s="28">
        <f t="shared" si="14"/>
        <v>57</v>
      </c>
      <c r="M96" s="23">
        <v>6000</v>
      </c>
      <c r="N96" s="23">
        <f t="shared" si="13"/>
        <v>1243937.55</v>
      </c>
    </row>
    <row r="97" spans="1:14">
      <c r="A97" s="65" t="s">
        <v>4</v>
      </c>
      <c r="B97" s="29">
        <v>45778</v>
      </c>
      <c r="C97" s="30">
        <v>1250000.0500000007</v>
      </c>
      <c r="D97" s="30">
        <v>1249500.05</v>
      </c>
      <c r="E97" s="30">
        <v>500.00000000069849</v>
      </c>
      <c r="F97" s="30">
        <v>1249500.05</v>
      </c>
      <c r="G97" s="31">
        <v>45854</v>
      </c>
      <c r="H97" s="32" t="s">
        <v>30</v>
      </c>
      <c r="I97" s="33" t="s">
        <v>186</v>
      </c>
      <c r="J97" s="30">
        <v>1249500.05</v>
      </c>
      <c r="K97" s="33">
        <v>45916</v>
      </c>
      <c r="L97" s="35">
        <f t="shared" si="14"/>
        <v>62</v>
      </c>
      <c r="M97" s="30">
        <v>6000</v>
      </c>
      <c r="N97" s="30">
        <f t="shared" si="13"/>
        <v>1243500.05</v>
      </c>
    </row>
    <row r="98" spans="1:14">
      <c r="A98" s="66" t="s">
        <v>4</v>
      </c>
      <c r="B98" s="21">
        <v>45809</v>
      </c>
      <c r="C98" s="23">
        <v>1250000.0500000007</v>
      </c>
      <c r="D98" s="23">
        <v>1249500.05</v>
      </c>
      <c r="E98" s="23">
        <v>500.00000000069849</v>
      </c>
      <c r="F98" s="23">
        <v>1249500.05</v>
      </c>
      <c r="G98" s="24">
        <v>45874</v>
      </c>
      <c r="H98" s="25" t="s">
        <v>34</v>
      </c>
      <c r="I98" s="26" t="s">
        <v>186</v>
      </c>
      <c r="J98" s="36">
        <v>1249500.05</v>
      </c>
      <c r="K98" s="26">
        <v>45937</v>
      </c>
      <c r="L98" s="28">
        <f t="shared" si="14"/>
        <v>63</v>
      </c>
      <c r="M98" s="23">
        <v>6000</v>
      </c>
      <c r="N98" s="23">
        <f t="shared" si="13"/>
        <v>1243500.05</v>
      </c>
    </row>
    <row r="99" spans="1:14">
      <c r="A99" s="65" t="s">
        <v>4</v>
      </c>
      <c r="B99" s="29">
        <v>45839</v>
      </c>
      <c r="C99" s="30">
        <v>1250000.0500000007</v>
      </c>
      <c r="D99" s="30">
        <v>1248500.05</v>
      </c>
      <c r="E99" s="30">
        <v>1500.0000000006901</v>
      </c>
      <c r="F99" s="30">
        <v>1248500.05</v>
      </c>
      <c r="G99" s="31">
        <v>45917</v>
      </c>
      <c r="H99" s="32" t="s">
        <v>55</v>
      </c>
      <c r="I99" s="33" t="s">
        <v>186</v>
      </c>
      <c r="J99" s="30">
        <v>1248500.05</v>
      </c>
      <c r="K99" s="34">
        <v>45999</v>
      </c>
      <c r="L99" s="35">
        <f t="shared" si="14"/>
        <v>82</v>
      </c>
      <c r="M99" s="30">
        <v>6000</v>
      </c>
      <c r="N99" s="30">
        <f t="shared" si="13"/>
        <v>1242500.05</v>
      </c>
    </row>
    <row r="100" spans="1:14">
      <c r="A100" s="66" t="s">
        <v>4</v>
      </c>
      <c r="B100" s="21">
        <v>45870</v>
      </c>
      <c r="C100" s="23">
        <v>1250000.0500000007</v>
      </c>
      <c r="D100" s="23">
        <v>1248250.05</v>
      </c>
      <c r="E100" s="23">
        <v>1750.0000000006985</v>
      </c>
      <c r="F100" s="23">
        <v>1248250.05</v>
      </c>
      <c r="G100" s="24">
        <v>45932</v>
      </c>
      <c r="H100" s="25" t="s">
        <v>79</v>
      </c>
      <c r="I100" s="26" t="s">
        <v>186</v>
      </c>
      <c r="J100" s="23">
        <v>1248250.05</v>
      </c>
      <c r="K100" s="27">
        <v>46001</v>
      </c>
      <c r="L100" s="28">
        <f t="shared" si="14"/>
        <v>69</v>
      </c>
      <c r="M100" s="23">
        <v>6000</v>
      </c>
      <c r="N100" s="23">
        <f t="shared" si="13"/>
        <v>1242250.05</v>
      </c>
    </row>
    <row r="101" spans="1:14">
      <c r="A101" s="65" t="s">
        <v>4</v>
      </c>
      <c r="B101" s="29">
        <v>45901</v>
      </c>
      <c r="C101" s="30">
        <v>1250000.0500000007</v>
      </c>
      <c r="D101" s="30">
        <v>1249250.05</v>
      </c>
      <c r="E101" s="30">
        <v>750.00000000069849</v>
      </c>
      <c r="F101" s="30">
        <v>1249250.05</v>
      </c>
      <c r="G101" s="31">
        <v>45973</v>
      </c>
      <c r="H101" s="32" t="s">
        <v>81</v>
      </c>
      <c r="I101" s="33" t="s">
        <v>186</v>
      </c>
      <c r="J101" s="30">
        <v>1249250.05</v>
      </c>
      <c r="K101" s="34">
        <v>46050</v>
      </c>
      <c r="L101" s="35">
        <f t="shared" si="14"/>
        <v>77</v>
      </c>
      <c r="M101" s="30">
        <v>6000</v>
      </c>
      <c r="N101" s="30">
        <f t="shared" si="13"/>
        <v>1243250.05</v>
      </c>
    </row>
    <row r="102" spans="1:14">
      <c r="A102" s="66" t="s">
        <v>4</v>
      </c>
      <c r="B102" s="21">
        <v>45931</v>
      </c>
      <c r="C102" s="23">
        <v>1250000.0500000007</v>
      </c>
      <c r="D102" s="23">
        <v>1249250.05</v>
      </c>
      <c r="E102" s="23">
        <v>750.00000000069849</v>
      </c>
      <c r="F102" s="23">
        <v>1249250.05</v>
      </c>
      <c r="G102" s="24">
        <v>46022</v>
      </c>
      <c r="H102" s="25" t="s">
        <v>88</v>
      </c>
      <c r="I102" s="26" t="s">
        <v>186</v>
      </c>
      <c r="J102" s="23">
        <v>1249250.05</v>
      </c>
      <c r="K102" s="26">
        <v>46096</v>
      </c>
      <c r="L102" s="28">
        <f t="shared" si="14"/>
        <v>74</v>
      </c>
      <c r="M102" s="23">
        <v>6000</v>
      </c>
      <c r="N102" s="23">
        <f t="shared" si="13"/>
        <v>1243250.05</v>
      </c>
    </row>
    <row r="103" spans="1:14">
      <c r="A103" s="65" t="s">
        <v>4</v>
      </c>
      <c r="B103" s="29">
        <v>45962</v>
      </c>
      <c r="C103" s="30">
        <v>1250000.0500000007</v>
      </c>
      <c r="D103" s="30">
        <v>1248875.05</v>
      </c>
      <c r="E103" s="30">
        <v>1125.0000000006901</v>
      </c>
      <c r="F103" s="30">
        <v>1248875.05</v>
      </c>
      <c r="G103" s="31">
        <v>46069</v>
      </c>
      <c r="H103" s="32" t="s">
        <v>109</v>
      </c>
      <c r="I103" s="33" t="s">
        <v>186</v>
      </c>
      <c r="J103" s="30">
        <v>1248875.05</v>
      </c>
      <c r="K103" s="34">
        <v>46133</v>
      </c>
      <c r="L103" s="35">
        <f t="shared" si="14"/>
        <v>64</v>
      </c>
      <c r="M103" s="30">
        <v>6000</v>
      </c>
      <c r="N103" s="30">
        <f t="shared" si="13"/>
        <v>1242875.05</v>
      </c>
    </row>
    <row r="104" spans="1:14">
      <c r="A104" s="66" t="s">
        <v>4</v>
      </c>
      <c r="B104" s="21">
        <v>45992</v>
      </c>
      <c r="C104" s="23">
        <v>1250000.0500000007</v>
      </c>
      <c r="D104" s="23">
        <v>1247625.05</v>
      </c>
      <c r="E104" s="23">
        <f>C104-D104</f>
        <v>2375.0000000006985</v>
      </c>
      <c r="F104" s="23">
        <v>1247625.05</v>
      </c>
      <c r="G104" s="24">
        <v>46090</v>
      </c>
      <c r="H104" s="25" t="s">
        <v>90</v>
      </c>
      <c r="I104" s="26" t="s">
        <v>186</v>
      </c>
      <c r="J104" s="23">
        <v>1247625.05</v>
      </c>
      <c r="K104" s="26">
        <v>46160</v>
      </c>
      <c r="L104" s="28">
        <f t="shared" si="14"/>
        <v>70</v>
      </c>
      <c r="M104" s="23">
        <v>6000</v>
      </c>
      <c r="N104" s="23">
        <f t="shared" ref="N104:N137" si="19">F104-M104</f>
        <v>1241625.05</v>
      </c>
    </row>
    <row r="105" spans="1:14">
      <c r="A105" s="65" t="s">
        <v>4</v>
      </c>
      <c r="B105" s="29">
        <v>46023</v>
      </c>
      <c r="C105" s="30">
        <v>1250000.0500000007</v>
      </c>
      <c r="D105" s="30">
        <v>1248875.05</v>
      </c>
      <c r="E105" s="30">
        <v>1125.0000000006985</v>
      </c>
      <c r="F105" s="30">
        <v>1248875.05</v>
      </c>
      <c r="G105" s="31">
        <v>46118</v>
      </c>
      <c r="H105" s="32" t="s">
        <v>95</v>
      </c>
      <c r="I105" s="33" t="s">
        <v>186</v>
      </c>
      <c r="J105" s="30">
        <v>1248875.05</v>
      </c>
      <c r="K105" s="33">
        <v>46161</v>
      </c>
      <c r="L105" s="35">
        <f t="shared" si="14"/>
        <v>43</v>
      </c>
      <c r="M105" s="30">
        <v>6000</v>
      </c>
      <c r="N105" s="30">
        <f t="shared" si="19"/>
        <v>1242875.05</v>
      </c>
    </row>
    <row r="106" spans="1:14">
      <c r="A106" s="66" t="s">
        <v>4</v>
      </c>
      <c r="B106" s="21">
        <v>46054</v>
      </c>
      <c r="C106" s="23">
        <v>1250000.0500000007</v>
      </c>
      <c r="D106" s="23">
        <v>1248625.05</v>
      </c>
      <c r="E106" s="23">
        <v>1375</v>
      </c>
      <c r="F106" s="23">
        <v>1248625.05</v>
      </c>
      <c r="G106" s="24">
        <v>46135</v>
      </c>
      <c r="H106" s="25" t="s">
        <v>102</v>
      </c>
      <c r="I106" s="26" t="s">
        <v>186</v>
      </c>
      <c r="J106" s="23">
        <v>1248625.05</v>
      </c>
      <c r="K106" s="26">
        <v>46196</v>
      </c>
      <c r="L106" s="28">
        <f t="shared" si="14"/>
        <v>61</v>
      </c>
      <c r="M106" s="23">
        <v>6000</v>
      </c>
      <c r="N106" s="23">
        <f t="shared" si="19"/>
        <v>1242625.05</v>
      </c>
    </row>
    <row r="107" spans="1:14">
      <c r="A107" s="65" t="s">
        <v>4</v>
      </c>
      <c r="B107" s="29">
        <v>46082</v>
      </c>
      <c r="C107" s="30">
        <v>1250000.0500000007</v>
      </c>
      <c r="D107" s="30">
        <v>1248625.05</v>
      </c>
      <c r="E107" s="30">
        <v>1375.0000000006985</v>
      </c>
      <c r="F107" s="30">
        <v>1248625.05</v>
      </c>
      <c r="G107" s="31">
        <v>46160</v>
      </c>
      <c r="H107" s="32" t="s">
        <v>113</v>
      </c>
      <c r="I107" s="33" t="s">
        <v>186</v>
      </c>
      <c r="J107" s="30">
        <v>1248625.05</v>
      </c>
      <c r="K107" s="33">
        <v>46224</v>
      </c>
      <c r="L107" s="35">
        <f t="shared" si="14"/>
        <v>64</v>
      </c>
      <c r="M107" s="30">
        <v>6000</v>
      </c>
      <c r="N107" s="30">
        <f t="shared" si="19"/>
        <v>1242625.05</v>
      </c>
    </row>
    <row r="108" spans="1:14">
      <c r="A108" s="66" t="s">
        <v>4</v>
      </c>
      <c r="B108" s="21">
        <v>46113</v>
      </c>
      <c r="C108" s="23">
        <v>1250000.0500000007</v>
      </c>
      <c r="D108" s="23">
        <v>1248625.05</v>
      </c>
      <c r="E108" s="23">
        <f>C108-D108</f>
        <v>1375.0000000006985</v>
      </c>
      <c r="F108" s="23">
        <v>1248625.05</v>
      </c>
      <c r="G108" s="24">
        <v>46191</v>
      </c>
      <c r="H108" s="25" t="s">
        <v>128</v>
      </c>
      <c r="I108" s="48">
        <f t="shared" ref="I108:I109" si="20">G108+60</f>
        <v>46251</v>
      </c>
      <c r="J108" s="22">
        <v>0</v>
      </c>
      <c r="K108" s="43"/>
      <c r="L108" s="28">
        <f t="shared" si="14"/>
        <v>-46191</v>
      </c>
      <c r="M108" s="23">
        <v>6000</v>
      </c>
      <c r="N108" s="23">
        <f t="shared" si="19"/>
        <v>1242625.05</v>
      </c>
    </row>
    <row r="109" spans="1:14">
      <c r="A109" s="65" t="s">
        <v>4</v>
      </c>
      <c r="B109" s="29">
        <v>46143</v>
      </c>
      <c r="C109" s="30">
        <v>1250000.0500000007</v>
      </c>
      <c r="D109" s="30">
        <v>1248625.05</v>
      </c>
      <c r="E109" s="30">
        <v>1375.0000000006985</v>
      </c>
      <c r="F109" s="30">
        <v>1248625.05</v>
      </c>
      <c r="G109" s="31">
        <v>46208</v>
      </c>
      <c r="H109" s="32" t="s">
        <v>127</v>
      </c>
      <c r="I109" s="48">
        <f t="shared" si="20"/>
        <v>46268</v>
      </c>
      <c r="J109" s="22">
        <v>0</v>
      </c>
      <c r="K109" s="43"/>
      <c r="L109" s="35">
        <f t="shared" ref="L109" si="21">K109-G109</f>
        <v>-46208</v>
      </c>
      <c r="M109" s="30">
        <v>6000</v>
      </c>
      <c r="N109" s="30">
        <f t="shared" si="19"/>
        <v>1242625.05</v>
      </c>
    </row>
    <row r="110" spans="1:14" s="20" customFormat="1">
      <c r="A110" s="68" t="s">
        <v>4</v>
      </c>
      <c r="B110" s="53">
        <v>46174</v>
      </c>
      <c r="C110" s="54">
        <v>1250000.0500000007</v>
      </c>
      <c r="D110" s="54">
        <v>1248625.05</v>
      </c>
      <c r="E110" s="54">
        <v>1375.0000000006985</v>
      </c>
      <c r="F110" s="54">
        <v>1248625.05</v>
      </c>
      <c r="G110" s="55">
        <v>46237</v>
      </c>
      <c r="H110" s="56" t="s">
        <v>178</v>
      </c>
      <c r="I110" s="57">
        <f t="shared" ref="I110" si="22">G110+60</f>
        <v>46297</v>
      </c>
      <c r="J110" s="54">
        <v>0</v>
      </c>
      <c r="K110" s="57"/>
      <c r="L110" s="58">
        <f t="shared" ref="L110" si="23">K110-G110</f>
        <v>-46237</v>
      </c>
      <c r="M110" s="54">
        <v>6000</v>
      </c>
      <c r="N110" s="54">
        <f t="shared" ref="N110" si="24">F110-M110</f>
        <v>1242625.05</v>
      </c>
    </row>
    <row r="111" spans="1:14" s="20" customFormat="1">
      <c r="A111" s="68" t="s">
        <v>4</v>
      </c>
      <c r="B111" s="53">
        <v>46204</v>
      </c>
      <c r="C111" s="54">
        <v>1250000.0500000007</v>
      </c>
      <c r="D111" s="54">
        <v>1248875</v>
      </c>
      <c r="E111" s="54">
        <v>1375</v>
      </c>
      <c r="F111" s="54"/>
      <c r="G111" s="55"/>
      <c r="H111" s="56"/>
      <c r="I111" s="57" t="s">
        <v>186</v>
      </c>
      <c r="J111" s="54">
        <v>0</v>
      </c>
      <c r="K111" s="57"/>
      <c r="L111" s="58">
        <f t="shared" ref="L111" si="25">K111-G111</f>
        <v>0</v>
      </c>
      <c r="M111" s="54">
        <v>6000</v>
      </c>
      <c r="N111" s="54">
        <f t="shared" ref="N111" si="26">F111-M111</f>
        <v>-6000</v>
      </c>
    </row>
    <row r="112" spans="1:14">
      <c r="A112" s="63" t="s">
        <v>8</v>
      </c>
      <c r="B112" s="21">
        <v>44682</v>
      </c>
      <c r="C112" s="23">
        <v>519587.11999999994</v>
      </c>
      <c r="D112" s="23">
        <v>519587.12</v>
      </c>
      <c r="E112" s="23">
        <v>0</v>
      </c>
      <c r="F112" s="23">
        <v>519587.12</v>
      </c>
      <c r="G112" s="24">
        <v>44840</v>
      </c>
      <c r="H112" s="25" t="s">
        <v>58</v>
      </c>
      <c r="I112" s="26" t="s">
        <v>186</v>
      </c>
      <c r="J112" s="23">
        <v>519587.12</v>
      </c>
      <c r="K112" s="26"/>
      <c r="L112" s="28">
        <f t="shared" si="14"/>
        <v>-44840</v>
      </c>
      <c r="M112" s="23">
        <v>0</v>
      </c>
      <c r="N112" s="23">
        <f t="shared" si="19"/>
        <v>519587.12</v>
      </c>
    </row>
    <row r="113" spans="1:14">
      <c r="A113" s="64" t="s">
        <v>8</v>
      </c>
      <c r="B113" s="29">
        <v>44713</v>
      </c>
      <c r="C113" s="30">
        <v>519588.12</v>
      </c>
      <c r="D113" s="30">
        <v>519587.12</v>
      </c>
      <c r="E113" s="30">
        <v>0</v>
      </c>
      <c r="F113" s="30">
        <v>519587.12</v>
      </c>
      <c r="G113" s="31">
        <v>44840</v>
      </c>
      <c r="H113" s="32" t="s">
        <v>59</v>
      </c>
      <c r="I113" s="33" t="s">
        <v>186</v>
      </c>
      <c r="J113" s="30">
        <v>519587.12</v>
      </c>
      <c r="K113" s="33"/>
      <c r="L113" s="35">
        <f t="shared" si="14"/>
        <v>-44840</v>
      </c>
      <c r="M113" s="30">
        <v>0</v>
      </c>
      <c r="N113" s="30">
        <f t="shared" si="19"/>
        <v>519587.12</v>
      </c>
    </row>
    <row r="114" spans="1:14">
      <c r="A114" s="63" t="s">
        <v>8</v>
      </c>
      <c r="B114" s="21">
        <v>44743</v>
      </c>
      <c r="C114" s="23">
        <v>519589.12</v>
      </c>
      <c r="D114" s="23">
        <v>519587.12</v>
      </c>
      <c r="E114" s="23">
        <v>0</v>
      </c>
      <c r="F114" s="23">
        <v>519587.12</v>
      </c>
      <c r="G114" s="24">
        <v>44840</v>
      </c>
      <c r="H114" s="25" t="s">
        <v>60</v>
      </c>
      <c r="I114" s="26" t="s">
        <v>186</v>
      </c>
      <c r="J114" s="23">
        <v>519587.12</v>
      </c>
      <c r="K114" s="26"/>
      <c r="L114" s="28">
        <f t="shared" si="14"/>
        <v>-44840</v>
      </c>
      <c r="M114" s="23">
        <v>0</v>
      </c>
      <c r="N114" s="23">
        <f t="shared" si="19"/>
        <v>519587.12</v>
      </c>
    </row>
    <row r="115" spans="1:14">
      <c r="A115" s="64" t="s">
        <v>8</v>
      </c>
      <c r="B115" s="29">
        <v>44774</v>
      </c>
      <c r="C115" s="30">
        <v>519590.12</v>
      </c>
      <c r="D115" s="30">
        <v>519587.12</v>
      </c>
      <c r="E115" s="30">
        <v>0</v>
      </c>
      <c r="F115" s="30">
        <v>519587.12</v>
      </c>
      <c r="G115" s="31">
        <v>44840</v>
      </c>
      <c r="H115" s="32" t="s">
        <v>61</v>
      </c>
      <c r="I115" s="33" t="s">
        <v>186</v>
      </c>
      <c r="J115" s="30">
        <v>519587.12</v>
      </c>
      <c r="K115" s="33"/>
      <c r="L115" s="35">
        <f t="shared" si="14"/>
        <v>-44840</v>
      </c>
      <c r="M115" s="30">
        <v>0</v>
      </c>
      <c r="N115" s="30">
        <f t="shared" si="19"/>
        <v>519587.12</v>
      </c>
    </row>
    <row r="116" spans="1:14">
      <c r="A116" s="63" t="s">
        <v>8</v>
      </c>
      <c r="B116" s="21">
        <v>44805</v>
      </c>
      <c r="C116" s="23">
        <v>519591.12</v>
      </c>
      <c r="D116" s="23">
        <v>519587.12</v>
      </c>
      <c r="E116" s="23">
        <v>0</v>
      </c>
      <c r="F116" s="23">
        <v>519587.12</v>
      </c>
      <c r="G116" s="24">
        <v>44846</v>
      </c>
      <c r="H116" s="25" t="s">
        <v>62</v>
      </c>
      <c r="I116" s="26" t="s">
        <v>186</v>
      </c>
      <c r="J116" s="23">
        <v>519587.12</v>
      </c>
      <c r="K116" s="26"/>
      <c r="L116" s="28">
        <f t="shared" si="14"/>
        <v>-44846</v>
      </c>
      <c r="M116" s="23">
        <v>0</v>
      </c>
      <c r="N116" s="23">
        <f t="shared" si="19"/>
        <v>519587.12</v>
      </c>
    </row>
    <row r="117" spans="1:14">
      <c r="A117" s="64" t="s">
        <v>8</v>
      </c>
      <c r="B117" s="29">
        <v>44835</v>
      </c>
      <c r="C117" s="30">
        <v>519592.12</v>
      </c>
      <c r="D117" s="30">
        <v>519587.12</v>
      </c>
      <c r="E117" s="30">
        <v>0</v>
      </c>
      <c r="F117" s="30">
        <v>519587.12</v>
      </c>
      <c r="G117" s="31">
        <v>44882</v>
      </c>
      <c r="H117" s="32" t="s">
        <v>63</v>
      </c>
      <c r="I117" s="33" t="s">
        <v>186</v>
      </c>
      <c r="J117" s="30">
        <v>519587.12</v>
      </c>
      <c r="K117" s="33"/>
      <c r="L117" s="35">
        <f t="shared" si="14"/>
        <v>-44882</v>
      </c>
      <c r="M117" s="30">
        <v>0</v>
      </c>
      <c r="N117" s="30">
        <f t="shared" si="19"/>
        <v>519587.12</v>
      </c>
    </row>
    <row r="118" spans="1:14">
      <c r="A118" s="63" t="s">
        <v>8</v>
      </c>
      <c r="B118" s="21">
        <v>44866</v>
      </c>
      <c r="C118" s="23">
        <v>519593.12</v>
      </c>
      <c r="D118" s="23">
        <v>519587.12</v>
      </c>
      <c r="E118" s="23">
        <v>0</v>
      </c>
      <c r="F118" s="23">
        <v>519587.12</v>
      </c>
      <c r="G118" s="24">
        <v>44941</v>
      </c>
      <c r="H118" s="25" t="s">
        <v>64</v>
      </c>
      <c r="I118" s="26" t="s">
        <v>186</v>
      </c>
      <c r="J118" s="23">
        <v>519587.12</v>
      </c>
      <c r="K118" s="26"/>
      <c r="L118" s="28">
        <f t="shared" si="14"/>
        <v>-44941</v>
      </c>
      <c r="M118" s="23">
        <v>0</v>
      </c>
      <c r="N118" s="23">
        <f t="shared" si="19"/>
        <v>519587.12</v>
      </c>
    </row>
    <row r="119" spans="1:14">
      <c r="A119" s="64" t="s">
        <v>8</v>
      </c>
      <c r="B119" s="29">
        <v>44896</v>
      </c>
      <c r="C119" s="30">
        <v>519594.12</v>
      </c>
      <c r="D119" s="30">
        <v>519587.12</v>
      </c>
      <c r="E119" s="30">
        <v>0</v>
      </c>
      <c r="F119" s="30">
        <v>519587.12</v>
      </c>
      <c r="G119" s="31">
        <v>44941</v>
      </c>
      <c r="H119" s="32" t="s">
        <v>65</v>
      </c>
      <c r="I119" s="33" t="s">
        <v>186</v>
      </c>
      <c r="J119" s="30">
        <v>519587.12</v>
      </c>
      <c r="K119" s="33"/>
      <c r="L119" s="35">
        <f t="shared" si="14"/>
        <v>-44941</v>
      </c>
      <c r="M119" s="30">
        <v>0</v>
      </c>
      <c r="N119" s="30">
        <f t="shared" si="19"/>
        <v>519587.12</v>
      </c>
    </row>
    <row r="120" spans="1:14">
      <c r="A120" s="63" t="s">
        <v>8</v>
      </c>
      <c r="B120" s="21">
        <v>44927</v>
      </c>
      <c r="C120" s="23">
        <v>519595.12</v>
      </c>
      <c r="D120" s="23">
        <v>519587.12</v>
      </c>
      <c r="E120" s="23">
        <v>0</v>
      </c>
      <c r="F120" s="23">
        <v>519587.12</v>
      </c>
      <c r="G120" s="24">
        <v>44992</v>
      </c>
      <c r="H120" s="25" t="s">
        <v>66</v>
      </c>
      <c r="I120" s="26" t="s">
        <v>186</v>
      </c>
      <c r="J120" s="23">
        <v>519587.12</v>
      </c>
      <c r="K120" s="26"/>
      <c r="L120" s="28">
        <f t="shared" si="14"/>
        <v>-44992</v>
      </c>
      <c r="M120" s="23">
        <v>0</v>
      </c>
      <c r="N120" s="23">
        <f t="shared" si="19"/>
        <v>519587.12</v>
      </c>
    </row>
    <row r="121" spans="1:14">
      <c r="A121" s="64" t="s">
        <v>8</v>
      </c>
      <c r="B121" s="29">
        <v>44958</v>
      </c>
      <c r="C121" s="30">
        <v>519596.12</v>
      </c>
      <c r="D121" s="30">
        <v>519587.12</v>
      </c>
      <c r="E121" s="30">
        <v>0</v>
      </c>
      <c r="F121" s="30">
        <v>519587.12</v>
      </c>
      <c r="G121" s="31">
        <v>44992</v>
      </c>
      <c r="H121" s="32" t="s">
        <v>67</v>
      </c>
      <c r="I121" s="33" t="s">
        <v>186</v>
      </c>
      <c r="J121" s="30">
        <v>519587.12</v>
      </c>
      <c r="K121" s="33"/>
      <c r="L121" s="35">
        <f t="shared" si="14"/>
        <v>-44992</v>
      </c>
      <c r="M121" s="30">
        <v>0</v>
      </c>
      <c r="N121" s="30">
        <f t="shared" si="19"/>
        <v>519587.12</v>
      </c>
    </row>
    <row r="122" spans="1:14">
      <c r="A122" s="63" t="s">
        <v>8</v>
      </c>
      <c r="B122" s="21">
        <v>44986</v>
      </c>
      <c r="C122" s="23">
        <v>519597.12</v>
      </c>
      <c r="D122" s="23">
        <v>519587.12</v>
      </c>
      <c r="E122" s="23">
        <v>0</v>
      </c>
      <c r="F122" s="23">
        <v>519587.12</v>
      </c>
      <c r="G122" s="24">
        <v>45061</v>
      </c>
      <c r="H122" s="25" t="s">
        <v>68</v>
      </c>
      <c r="I122" s="26" t="s">
        <v>186</v>
      </c>
      <c r="J122" s="23">
        <v>519587.12</v>
      </c>
      <c r="K122" s="26"/>
      <c r="L122" s="28">
        <f t="shared" si="14"/>
        <v>-45061</v>
      </c>
      <c r="M122" s="23">
        <v>0</v>
      </c>
      <c r="N122" s="23">
        <f t="shared" si="19"/>
        <v>519587.12</v>
      </c>
    </row>
    <row r="123" spans="1:14">
      <c r="A123" s="64" t="s">
        <v>8</v>
      </c>
      <c r="B123" s="29">
        <v>45017</v>
      </c>
      <c r="C123" s="30">
        <v>519598.12</v>
      </c>
      <c r="D123" s="30">
        <v>519587.12</v>
      </c>
      <c r="E123" s="30">
        <v>0</v>
      </c>
      <c r="F123" s="30">
        <v>519587.12</v>
      </c>
      <c r="G123" s="31">
        <v>45061</v>
      </c>
      <c r="H123" s="32" t="s">
        <v>69</v>
      </c>
      <c r="I123" s="33" t="s">
        <v>186</v>
      </c>
      <c r="J123" s="30">
        <v>519587.12</v>
      </c>
      <c r="K123" s="33"/>
      <c r="L123" s="35">
        <f t="shared" si="14"/>
        <v>-45061</v>
      </c>
      <c r="M123" s="30">
        <v>0</v>
      </c>
      <c r="N123" s="30">
        <f t="shared" si="19"/>
        <v>519587.12</v>
      </c>
    </row>
    <row r="124" spans="1:14">
      <c r="A124" s="63" t="s">
        <v>8</v>
      </c>
      <c r="B124" s="21">
        <v>45047</v>
      </c>
      <c r="C124" s="23">
        <v>519599.12</v>
      </c>
      <c r="D124" s="23">
        <v>519587.12</v>
      </c>
      <c r="E124" s="23">
        <v>0</v>
      </c>
      <c r="F124" s="23">
        <v>519587.12</v>
      </c>
      <c r="G124" s="24">
        <v>45137</v>
      </c>
      <c r="H124" s="25" t="s">
        <v>70</v>
      </c>
      <c r="I124" s="26" t="s">
        <v>186</v>
      </c>
      <c r="J124" s="23">
        <v>519587.12</v>
      </c>
      <c r="K124" s="26"/>
      <c r="L124" s="28">
        <f t="shared" si="14"/>
        <v>-45137</v>
      </c>
      <c r="M124" s="23">
        <v>0</v>
      </c>
      <c r="N124" s="23">
        <f t="shared" si="19"/>
        <v>519587.12</v>
      </c>
    </row>
    <row r="125" spans="1:14">
      <c r="A125" s="64" t="s">
        <v>8</v>
      </c>
      <c r="B125" s="29">
        <v>45078</v>
      </c>
      <c r="C125" s="30">
        <v>519600.12</v>
      </c>
      <c r="D125" s="30">
        <v>519587.12</v>
      </c>
      <c r="E125" s="30">
        <v>0</v>
      </c>
      <c r="F125" s="30">
        <v>519587.12</v>
      </c>
      <c r="G125" s="31">
        <v>45137</v>
      </c>
      <c r="H125" s="32" t="s">
        <v>71</v>
      </c>
      <c r="I125" s="33" t="s">
        <v>186</v>
      </c>
      <c r="J125" s="30">
        <v>519587.12</v>
      </c>
      <c r="K125" s="33"/>
      <c r="L125" s="35">
        <f t="shared" si="14"/>
        <v>-45137</v>
      </c>
      <c r="M125" s="30">
        <v>0</v>
      </c>
      <c r="N125" s="30">
        <f t="shared" si="19"/>
        <v>519587.12</v>
      </c>
    </row>
    <row r="126" spans="1:14">
      <c r="A126" s="63" t="s">
        <v>8</v>
      </c>
      <c r="B126" s="21">
        <v>45108</v>
      </c>
      <c r="C126" s="23">
        <v>519601.12</v>
      </c>
      <c r="D126" s="23">
        <v>519587.12</v>
      </c>
      <c r="E126" s="23">
        <v>0</v>
      </c>
      <c r="F126" s="23">
        <v>519587.12</v>
      </c>
      <c r="G126" s="24">
        <v>45194</v>
      </c>
      <c r="H126" s="25" t="s">
        <v>72</v>
      </c>
      <c r="I126" s="26" t="s">
        <v>186</v>
      </c>
      <c r="J126" s="23">
        <v>519587.12</v>
      </c>
      <c r="K126" s="26"/>
      <c r="L126" s="28">
        <f t="shared" si="14"/>
        <v>-45194</v>
      </c>
      <c r="M126" s="23">
        <v>0</v>
      </c>
      <c r="N126" s="23">
        <f t="shared" si="19"/>
        <v>519587.12</v>
      </c>
    </row>
    <row r="127" spans="1:14">
      <c r="A127" s="64" t="s">
        <v>8</v>
      </c>
      <c r="B127" s="29">
        <v>45139</v>
      </c>
      <c r="C127" s="30">
        <v>519602.12</v>
      </c>
      <c r="D127" s="30">
        <v>519587.12</v>
      </c>
      <c r="E127" s="30">
        <v>0</v>
      </c>
      <c r="F127" s="30">
        <v>519587.12</v>
      </c>
      <c r="G127" s="31">
        <v>45194</v>
      </c>
      <c r="H127" s="32" t="s">
        <v>73</v>
      </c>
      <c r="I127" s="33" t="s">
        <v>186</v>
      </c>
      <c r="J127" s="30">
        <v>519587.12</v>
      </c>
      <c r="K127" s="33"/>
      <c r="L127" s="35">
        <f t="shared" si="14"/>
        <v>-45194</v>
      </c>
      <c r="M127" s="30">
        <v>0</v>
      </c>
      <c r="N127" s="30">
        <f t="shared" si="19"/>
        <v>519587.12</v>
      </c>
    </row>
    <row r="128" spans="1:14">
      <c r="A128" s="63" t="s">
        <v>8</v>
      </c>
      <c r="B128" s="21">
        <v>45170</v>
      </c>
      <c r="C128" s="23">
        <v>519603.12</v>
      </c>
      <c r="D128" s="23">
        <v>519587.12</v>
      </c>
      <c r="E128" s="23">
        <v>0</v>
      </c>
      <c r="F128" s="23">
        <v>519587.12</v>
      </c>
      <c r="G128" s="24">
        <v>45225</v>
      </c>
      <c r="H128" s="25" t="s">
        <v>77</v>
      </c>
      <c r="I128" s="26" t="s">
        <v>186</v>
      </c>
      <c r="J128" s="23">
        <v>519587.12</v>
      </c>
      <c r="K128" s="26"/>
      <c r="L128" s="28">
        <f t="shared" si="14"/>
        <v>-45225</v>
      </c>
      <c r="M128" s="23">
        <v>0</v>
      </c>
      <c r="N128" s="23">
        <f t="shared" si="19"/>
        <v>519587.12</v>
      </c>
    </row>
    <row r="129" spans="1:14">
      <c r="A129" s="64" t="s">
        <v>8</v>
      </c>
      <c r="B129" s="29">
        <v>45200</v>
      </c>
      <c r="C129" s="30">
        <v>519604.12</v>
      </c>
      <c r="D129" s="30">
        <v>519587.12</v>
      </c>
      <c r="E129" s="30">
        <v>0</v>
      </c>
      <c r="F129" s="30">
        <v>519587.12</v>
      </c>
      <c r="G129" s="31">
        <v>45252</v>
      </c>
      <c r="H129" s="32" t="s">
        <v>74</v>
      </c>
      <c r="I129" s="33" t="s">
        <v>186</v>
      </c>
      <c r="J129" s="30">
        <v>519587.12</v>
      </c>
      <c r="K129" s="33"/>
      <c r="L129" s="35">
        <f t="shared" si="14"/>
        <v>-45252</v>
      </c>
      <c r="M129" s="30">
        <v>0</v>
      </c>
      <c r="N129" s="30">
        <f t="shared" si="19"/>
        <v>519587.12</v>
      </c>
    </row>
    <row r="130" spans="1:14">
      <c r="A130" s="63" t="s">
        <v>8</v>
      </c>
      <c r="B130" s="21">
        <v>45231</v>
      </c>
      <c r="C130" s="23">
        <v>519605.12</v>
      </c>
      <c r="D130" s="23">
        <v>519587.12</v>
      </c>
      <c r="E130" s="23">
        <v>0</v>
      </c>
      <c r="F130" s="23">
        <v>519587.12</v>
      </c>
      <c r="G130" s="24">
        <v>45291</v>
      </c>
      <c r="H130" s="25" t="s">
        <v>75</v>
      </c>
      <c r="I130" s="26" t="s">
        <v>186</v>
      </c>
      <c r="J130" s="23">
        <v>519587.12</v>
      </c>
      <c r="K130" s="26"/>
      <c r="L130" s="28">
        <f t="shared" si="14"/>
        <v>-45291</v>
      </c>
      <c r="M130" s="23">
        <v>0</v>
      </c>
      <c r="N130" s="23">
        <f t="shared" si="19"/>
        <v>519587.12</v>
      </c>
    </row>
    <row r="131" spans="1:14">
      <c r="A131" s="64" t="s">
        <v>8</v>
      </c>
      <c r="B131" s="29">
        <v>45261</v>
      </c>
      <c r="C131" s="30">
        <v>519606.12</v>
      </c>
      <c r="D131" s="30">
        <v>519587.12</v>
      </c>
      <c r="E131" s="30">
        <v>0</v>
      </c>
      <c r="F131" s="30">
        <v>519587.12</v>
      </c>
      <c r="G131" s="31">
        <v>45316</v>
      </c>
      <c r="H131" s="32" t="s">
        <v>76</v>
      </c>
      <c r="I131" s="33" t="s">
        <v>186</v>
      </c>
      <c r="J131" s="30">
        <v>519587.12</v>
      </c>
      <c r="K131" s="33"/>
      <c r="L131" s="35">
        <f t="shared" si="14"/>
        <v>-45316</v>
      </c>
      <c r="M131" s="30">
        <v>0</v>
      </c>
      <c r="N131" s="30">
        <f t="shared" si="19"/>
        <v>519587.12</v>
      </c>
    </row>
    <row r="132" spans="1:14">
      <c r="A132" s="63" t="s">
        <v>8</v>
      </c>
      <c r="B132" s="21">
        <v>45292</v>
      </c>
      <c r="C132" s="23">
        <v>519587.12</v>
      </c>
      <c r="D132" s="23">
        <v>519587.12</v>
      </c>
      <c r="E132" s="23">
        <v>0</v>
      </c>
      <c r="F132" s="23">
        <v>519587.12</v>
      </c>
      <c r="G132" s="24">
        <v>45371</v>
      </c>
      <c r="H132" s="25" t="s">
        <v>48</v>
      </c>
      <c r="I132" s="26" t="s">
        <v>186</v>
      </c>
      <c r="J132" s="23">
        <v>519587.12</v>
      </c>
      <c r="K132" s="27">
        <v>45474</v>
      </c>
      <c r="L132" s="28">
        <f t="shared" si="14"/>
        <v>103</v>
      </c>
      <c r="M132" s="23">
        <v>0</v>
      </c>
      <c r="N132" s="23">
        <f t="shared" si="19"/>
        <v>519587.12</v>
      </c>
    </row>
    <row r="133" spans="1:14">
      <c r="A133" s="64" t="s">
        <v>8</v>
      </c>
      <c r="B133" s="29">
        <v>45323</v>
      </c>
      <c r="C133" s="30">
        <v>519587.12</v>
      </c>
      <c r="D133" s="30">
        <v>519587.12</v>
      </c>
      <c r="E133" s="30">
        <v>0</v>
      </c>
      <c r="F133" s="30">
        <v>519587.12</v>
      </c>
      <c r="G133" s="31">
        <v>45440</v>
      </c>
      <c r="H133" s="32" t="s">
        <v>49</v>
      </c>
      <c r="I133" s="33" t="s">
        <v>186</v>
      </c>
      <c r="J133" s="30">
        <v>519587.12</v>
      </c>
      <c r="K133" s="34">
        <v>45474</v>
      </c>
      <c r="L133" s="35">
        <f t="shared" si="14"/>
        <v>34</v>
      </c>
      <c r="M133" s="30">
        <v>0</v>
      </c>
      <c r="N133" s="30">
        <f t="shared" si="19"/>
        <v>519587.12</v>
      </c>
    </row>
    <row r="134" spans="1:14">
      <c r="A134" s="63" t="s">
        <v>8</v>
      </c>
      <c r="B134" s="21">
        <v>45352</v>
      </c>
      <c r="C134" s="23">
        <v>519587.12</v>
      </c>
      <c r="D134" s="23">
        <v>519587.12</v>
      </c>
      <c r="E134" s="23">
        <v>0</v>
      </c>
      <c r="F134" s="23">
        <v>519587.12</v>
      </c>
      <c r="G134" s="24">
        <v>45440</v>
      </c>
      <c r="H134" s="25" t="s">
        <v>50</v>
      </c>
      <c r="I134" s="26" t="s">
        <v>186</v>
      </c>
      <c r="J134" s="23">
        <v>519587.12</v>
      </c>
      <c r="K134" s="27">
        <v>45474</v>
      </c>
      <c r="L134" s="28">
        <f t="shared" si="14"/>
        <v>34</v>
      </c>
      <c r="M134" s="23">
        <v>0</v>
      </c>
      <c r="N134" s="23">
        <f t="shared" si="19"/>
        <v>519587.12</v>
      </c>
    </row>
    <row r="135" spans="1:14">
      <c r="A135" s="64" t="s">
        <v>8</v>
      </c>
      <c r="B135" s="29">
        <v>45383</v>
      </c>
      <c r="C135" s="30">
        <v>519587.12</v>
      </c>
      <c r="D135" s="30">
        <v>519587.12</v>
      </c>
      <c r="E135" s="30">
        <v>0</v>
      </c>
      <c r="F135" s="30">
        <v>519587.12</v>
      </c>
      <c r="G135" s="31">
        <v>45490</v>
      </c>
      <c r="H135" s="32" t="s">
        <v>52</v>
      </c>
      <c r="I135" s="33" t="s">
        <v>186</v>
      </c>
      <c r="J135" s="30">
        <v>519587.12</v>
      </c>
      <c r="K135" s="34">
        <v>45510</v>
      </c>
      <c r="L135" s="35">
        <f t="shared" si="14"/>
        <v>20</v>
      </c>
      <c r="M135" s="30">
        <v>0</v>
      </c>
      <c r="N135" s="30">
        <f t="shared" si="19"/>
        <v>519587.12</v>
      </c>
    </row>
    <row r="136" spans="1:14">
      <c r="A136" s="63" t="s">
        <v>8</v>
      </c>
      <c r="B136" s="21">
        <v>45413</v>
      </c>
      <c r="C136" s="23">
        <v>519587.12</v>
      </c>
      <c r="D136" s="23">
        <v>514708.12</v>
      </c>
      <c r="E136" s="23">
        <v>0</v>
      </c>
      <c r="F136" s="23">
        <v>514708.12</v>
      </c>
      <c r="G136" s="24">
        <v>45489</v>
      </c>
      <c r="H136" s="25" t="s">
        <v>51</v>
      </c>
      <c r="I136" s="26" t="s">
        <v>186</v>
      </c>
      <c r="J136" s="23">
        <v>514708.12</v>
      </c>
      <c r="K136" s="27">
        <v>45510</v>
      </c>
      <c r="L136" s="28">
        <f t="shared" si="14"/>
        <v>21</v>
      </c>
      <c r="M136" s="23">
        <v>0</v>
      </c>
      <c r="N136" s="23">
        <f t="shared" si="19"/>
        <v>514708.12</v>
      </c>
    </row>
    <row r="137" spans="1:14">
      <c r="A137" s="64" t="s">
        <v>8</v>
      </c>
      <c r="B137" s="29">
        <v>45444</v>
      </c>
      <c r="C137" s="30">
        <v>519587.12</v>
      </c>
      <c r="D137" s="30">
        <v>514708.12</v>
      </c>
      <c r="E137" s="30">
        <v>0</v>
      </c>
      <c r="F137" s="30">
        <v>514708.12</v>
      </c>
      <c r="G137" s="31">
        <v>45495</v>
      </c>
      <c r="H137" s="32" t="s">
        <v>53</v>
      </c>
      <c r="I137" s="33" t="s">
        <v>186</v>
      </c>
      <c r="J137" s="30">
        <v>514708.12</v>
      </c>
      <c r="K137" s="34">
        <v>45588</v>
      </c>
      <c r="L137" s="35">
        <f t="shared" si="14"/>
        <v>93</v>
      </c>
      <c r="M137" s="30">
        <v>0</v>
      </c>
      <c r="N137" s="30">
        <f t="shared" si="19"/>
        <v>514708.12</v>
      </c>
    </row>
    <row r="138" spans="1:14">
      <c r="A138" s="63" t="s">
        <v>8</v>
      </c>
      <c r="B138" s="21">
        <v>45474</v>
      </c>
      <c r="C138" s="23">
        <v>519587.12</v>
      </c>
      <c r="D138" s="23">
        <v>514708.12173913041</v>
      </c>
      <c r="E138" s="23">
        <v>0</v>
      </c>
      <c r="F138" s="23">
        <v>514708.12173913041</v>
      </c>
      <c r="G138" s="24">
        <v>45572</v>
      </c>
      <c r="H138" s="25" t="s">
        <v>33</v>
      </c>
      <c r="I138" s="26" t="s">
        <v>186</v>
      </c>
      <c r="J138" s="23">
        <v>514708.12</v>
      </c>
      <c r="K138" s="27">
        <v>45673</v>
      </c>
      <c r="L138" s="28">
        <f t="shared" si="14"/>
        <v>101</v>
      </c>
      <c r="M138" s="23">
        <v>0</v>
      </c>
      <c r="N138" s="23">
        <f t="shared" ref="N138:N169" si="27">F138-M138</f>
        <v>514708.12173913041</v>
      </c>
    </row>
    <row r="139" spans="1:14">
      <c r="A139" s="64" t="s">
        <v>8</v>
      </c>
      <c r="B139" s="29">
        <v>45505</v>
      </c>
      <c r="C139" s="30">
        <v>519587.12</v>
      </c>
      <c r="D139" s="30">
        <v>514708.12173913041</v>
      </c>
      <c r="E139" s="30">
        <v>0</v>
      </c>
      <c r="F139" s="30">
        <v>514708.12173913041</v>
      </c>
      <c r="G139" s="31">
        <v>45616</v>
      </c>
      <c r="H139" s="32" t="s">
        <v>17</v>
      </c>
      <c r="I139" s="33" t="s">
        <v>186</v>
      </c>
      <c r="J139" s="30">
        <v>514708.12</v>
      </c>
      <c r="K139" s="34">
        <v>45673</v>
      </c>
      <c r="L139" s="35">
        <f t="shared" si="14"/>
        <v>57</v>
      </c>
      <c r="M139" s="30">
        <v>0</v>
      </c>
      <c r="N139" s="30">
        <f t="shared" si="27"/>
        <v>514708.12173913041</v>
      </c>
    </row>
    <row r="140" spans="1:14">
      <c r="A140" s="63" t="s">
        <v>8</v>
      </c>
      <c r="B140" s="21">
        <v>45536</v>
      </c>
      <c r="C140" s="23">
        <v>519587.12</v>
      </c>
      <c r="D140" s="23">
        <v>514708.12173913041</v>
      </c>
      <c r="E140" s="23">
        <v>0</v>
      </c>
      <c r="F140" s="23">
        <v>514708.12173913041</v>
      </c>
      <c r="G140" s="24">
        <v>45638</v>
      </c>
      <c r="H140" s="25" t="s">
        <v>18</v>
      </c>
      <c r="I140" s="26" t="s">
        <v>186</v>
      </c>
      <c r="J140" s="23">
        <v>514708.12</v>
      </c>
      <c r="K140" s="27">
        <v>45673</v>
      </c>
      <c r="L140" s="28">
        <f t="shared" si="14"/>
        <v>35</v>
      </c>
      <c r="M140" s="23">
        <v>0</v>
      </c>
      <c r="N140" s="23">
        <f t="shared" si="27"/>
        <v>514708.12173913041</v>
      </c>
    </row>
    <row r="141" spans="1:14">
      <c r="A141" s="64" t="s">
        <v>8</v>
      </c>
      <c r="B141" s="29">
        <v>45566</v>
      </c>
      <c r="C141" s="30">
        <v>519587.12</v>
      </c>
      <c r="D141" s="30">
        <v>514708.12173913041</v>
      </c>
      <c r="E141" s="30">
        <v>0</v>
      </c>
      <c r="F141" s="30">
        <v>514708.12173913041</v>
      </c>
      <c r="G141" s="31">
        <v>45638</v>
      </c>
      <c r="H141" s="32" t="s">
        <v>19</v>
      </c>
      <c r="I141" s="33" t="s">
        <v>186</v>
      </c>
      <c r="J141" s="30">
        <v>514708.12</v>
      </c>
      <c r="K141" s="34">
        <v>45756</v>
      </c>
      <c r="L141" s="35">
        <f t="shared" si="14"/>
        <v>118</v>
      </c>
      <c r="M141" s="30">
        <v>0</v>
      </c>
      <c r="N141" s="30">
        <f t="shared" si="27"/>
        <v>514708.12173913041</v>
      </c>
    </row>
    <row r="142" spans="1:14">
      <c r="A142" s="63" t="s">
        <v>8</v>
      </c>
      <c r="B142" s="21">
        <v>45597</v>
      </c>
      <c r="C142" s="23">
        <v>519587.12</v>
      </c>
      <c r="D142" s="23">
        <v>514708.12173913041</v>
      </c>
      <c r="E142" s="23">
        <v>0</v>
      </c>
      <c r="F142" s="23">
        <v>514708.12173913041</v>
      </c>
      <c r="G142" s="24">
        <v>45678</v>
      </c>
      <c r="H142" s="25" t="s">
        <v>20</v>
      </c>
      <c r="I142" s="26" t="s">
        <v>186</v>
      </c>
      <c r="J142" s="23">
        <v>514708.12</v>
      </c>
      <c r="K142" s="27">
        <v>45715</v>
      </c>
      <c r="L142" s="28">
        <f t="shared" si="14"/>
        <v>37</v>
      </c>
      <c r="M142" s="23">
        <v>0</v>
      </c>
      <c r="N142" s="23">
        <f t="shared" si="27"/>
        <v>514708.12173913041</v>
      </c>
    </row>
    <row r="143" spans="1:14">
      <c r="A143" s="64" t="s">
        <v>8</v>
      </c>
      <c r="B143" s="29">
        <v>45627</v>
      </c>
      <c r="C143" s="30">
        <v>519587.12</v>
      </c>
      <c r="D143" s="30">
        <v>514708.12173913041</v>
      </c>
      <c r="E143" s="30">
        <v>0</v>
      </c>
      <c r="F143" s="30">
        <v>514708.12173913041</v>
      </c>
      <c r="G143" s="31">
        <v>45678</v>
      </c>
      <c r="H143" s="32" t="s">
        <v>21</v>
      </c>
      <c r="I143" s="33" t="s">
        <v>186</v>
      </c>
      <c r="J143" s="30">
        <v>514708.12</v>
      </c>
      <c r="K143" s="34">
        <v>45715</v>
      </c>
      <c r="L143" s="35">
        <f t="shared" ref="L143:L175" si="28">K143-G143</f>
        <v>37</v>
      </c>
      <c r="M143" s="30">
        <v>0</v>
      </c>
      <c r="N143" s="30">
        <f t="shared" si="27"/>
        <v>514708.12173913041</v>
      </c>
    </row>
    <row r="144" spans="1:14" ht="14.4" customHeight="1">
      <c r="A144" s="63" t="s">
        <v>8</v>
      </c>
      <c r="B144" s="21">
        <v>45658</v>
      </c>
      <c r="C144" s="23">
        <v>519587.12</v>
      </c>
      <c r="D144" s="23">
        <f>F144</f>
        <v>514708.12</v>
      </c>
      <c r="E144" s="23">
        <v>0</v>
      </c>
      <c r="F144" s="23">
        <v>514708.12</v>
      </c>
      <c r="G144" s="24">
        <v>45734</v>
      </c>
      <c r="H144" s="25" t="s">
        <v>6</v>
      </c>
      <c r="I144" s="26" t="s">
        <v>186</v>
      </c>
      <c r="J144" s="23">
        <v>514708.12</v>
      </c>
      <c r="K144" s="27">
        <v>45770</v>
      </c>
      <c r="L144" s="28">
        <f t="shared" si="28"/>
        <v>36</v>
      </c>
      <c r="M144" s="23">
        <v>0</v>
      </c>
      <c r="N144" s="23">
        <f t="shared" si="27"/>
        <v>514708.12</v>
      </c>
    </row>
    <row r="145" spans="1:14">
      <c r="A145" s="64" t="s">
        <v>8</v>
      </c>
      <c r="B145" s="29">
        <v>45689</v>
      </c>
      <c r="C145" s="30">
        <v>519587.12</v>
      </c>
      <c r="D145" s="30">
        <f>F145</f>
        <v>514708.12</v>
      </c>
      <c r="E145" s="30">
        <v>0</v>
      </c>
      <c r="F145" s="30">
        <v>514708.12</v>
      </c>
      <c r="G145" s="31">
        <v>45740</v>
      </c>
      <c r="H145" s="32" t="s">
        <v>7</v>
      </c>
      <c r="I145" s="33" t="s">
        <v>186</v>
      </c>
      <c r="J145" s="30">
        <v>514708.12</v>
      </c>
      <c r="K145" s="34">
        <v>45770</v>
      </c>
      <c r="L145" s="35">
        <f t="shared" si="28"/>
        <v>30</v>
      </c>
      <c r="M145" s="30">
        <v>0</v>
      </c>
      <c r="N145" s="30">
        <f t="shared" si="27"/>
        <v>514708.12</v>
      </c>
    </row>
    <row r="146" spans="1:14">
      <c r="A146" s="63" t="s">
        <v>8</v>
      </c>
      <c r="B146" s="21">
        <v>45717</v>
      </c>
      <c r="C146" s="23">
        <v>519587.12</v>
      </c>
      <c r="D146" s="23">
        <f t="shared" ref="D146:D153" si="29">F146</f>
        <v>514708.12</v>
      </c>
      <c r="E146" s="23">
        <v>0</v>
      </c>
      <c r="F146" s="23">
        <v>514708.12</v>
      </c>
      <c r="G146" s="24">
        <v>45784</v>
      </c>
      <c r="H146" s="25" t="s">
        <v>24</v>
      </c>
      <c r="I146" s="26" t="s">
        <v>186</v>
      </c>
      <c r="J146" s="23">
        <v>514708.12</v>
      </c>
      <c r="K146" s="27">
        <v>45863</v>
      </c>
      <c r="L146" s="28">
        <f t="shared" si="28"/>
        <v>79</v>
      </c>
      <c r="M146" s="23">
        <v>0</v>
      </c>
      <c r="N146" s="23">
        <f t="shared" si="27"/>
        <v>514708.12</v>
      </c>
    </row>
    <row r="147" spans="1:14">
      <c r="A147" s="64" t="s">
        <v>8</v>
      </c>
      <c r="B147" s="29">
        <v>45748</v>
      </c>
      <c r="C147" s="30">
        <v>519587.12</v>
      </c>
      <c r="D147" s="30">
        <f t="shared" si="29"/>
        <v>514708.12</v>
      </c>
      <c r="E147" s="30">
        <v>0</v>
      </c>
      <c r="F147" s="30">
        <v>514708.12</v>
      </c>
      <c r="G147" s="31">
        <v>45858</v>
      </c>
      <c r="H147" s="32" t="s">
        <v>31</v>
      </c>
      <c r="I147" s="33" t="s">
        <v>186</v>
      </c>
      <c r="J147" s="30">
        <v>514708.12</v>
      </c>
      <c r="K147" s="34">
        <v>45896</v>
      </c>
      <c r="L147" s="35">
        <f t="shared" si="28"/>
        <v>38</v>
      </c>
      <c r="M147" s="30">
        <v>0</v>
      </c>
      <c r="N147" s="30">
        <f t="shared" si="27"/>
        <v>514708.12</v>
      </c>
    </row>
    <row r="148" spans="1:14">
      <c r="A148" s="63" t="s">
        <v>8</v>
      </c>
      <c r="B148" s="21">
        <v>45778</v>
      </c>
      <c r="C148" s="23">
        <v>514708.12</v>
      </c>
      <c r="D148" s="23">
        <f t="shared" si="29"/>
        <v>513146.84</v>
      </c>
      <c r="E148" s="23">
        <v>0</v>
      </c>
      <c r="F148" s="23">
        <v>513146.84</v>
      </c>
      <c r="G148" s="24">
        <v>45893</v>
      </c>
      <c r="H148" s="25" t="s">
        <v>35</v>
      </c>
      <c r="I148" s="26" t="s">
        <v>186</v>
      </c>
      <c r="J148" s="23">
        <v>513146.84</v>
      </c>
      <c r="K148" s="26">
        <v>45946</v>
      </c>
      <c r="L148" s="28">
        <f t="shared" si="28"/>
        <v>53</v>
      </c>
      <c r="M148" s="23">
        <v>0</v>
      </c>
      <c r="N148" s="23">
        <f t="shared" si="27"/>
        <v>513146.84</v>
      </c>
    </row>
    <row r="149" spans="1:14">
      <c r="A149" s="64" t="s">
        <v>8</v>
      </c>
      <c r="B149" s="29">
        <v>45809</v>
      </c>
      <c r="C149" s="30">
        <v>514708.12</v>
      </c>
      <c r="D149" s="30">
        <f t="shared" si="29"/>
        <v>513146.84</v>
      </c>
      <c r="E149" s="30">
        <v>0</v>
      </c>
      <c r="F149" s="30">
        <v>513146.84</v>
      </c>
      <c r="G149" s="31">
        <v>45893</v>
      </c>
      <c r="H149" s="32" t="s">
        <v>36</v>
      </c>
      <c r="I149" s="33" t="s">
        <v>186</v>
      </c>
      <c r="J149" s="30">
        <v>513146.84</v>
      </c>
      <c r="K149" s="33">
        <v>45946</v>
      </c>
      <c r="L149" s="35">
        <f t="shared" si="28"/>
        <v>53</v>
      </c>
      <c r="M149" s="30">
        <v>0</v>
      </c>
      <c r="N149" s="30">
        <f t="shared" si="27"/>
        <v>513146.84</v>
      </c>
    </row>
    <row r="150" spans="1:14">
      <c r="A150" s="63" t="s">
        <v>8</v>
      </c>
      <c r="B150" s="21">
        <v>45839</v>
      </c>
      <c r="C150" s="23">
        <v>514708.12</v>
      </c>
      <c r="D150" s="23">
        <f t="shared" si="29"/>
        <v>513146.84</v>
      </c>
      <c r="E150" s="23">
        <v>0</v>
      </c>
      <c r="F150" s="23">
        <v>513146.84</v>
      </c>
      <c r="G150" s="24">
        <v>45921</v>
      </c>
      <c r="H150" s="25" t="s">
        <v>56</v>
      </c>
      <c r="I150" s="26" t="s">
        <v>186</v>
      </c>
      <c r="J150" s="23">
        <v>513146.84</v>
      </c>
      <c r="K150" s="26">
        <v>45951</v>
      </c>
      <c r="L150" s="28">
        <f t="shared" si="28"/>
        <v>30</v>
      </c>
      <c r="M150" s="23">
        <v>0</v>
      </c>
      <c r="N150" s="23">
        <f t="shared" si="27"/>
        <v>513146.84</v>
      </c>
    </row>
    <row r="151" spans="1:14">
      <c r="A151" s="64" t="s">
        <v>8</v>
      </c>
      <c r="B151" s="29">
        <v>45870</v>
      </c>
      <c r="C151" s="30">
        <v>514708.12</v>
      </c>
      <c r="D151" s="30">
        <f t="shared" si="29"/>
        <v>513146.84</v>
      </c>
      <c r="E151" s="30">
        <v>0</v>
      </c>
      <c r="F151" s="30">
        <v>513146.84</v>
      </c>
      <c r="G151" s="31">
        <v>45939</v>
      </c>
      <c r="H151" s="32" t="s">
        <v>80</v>
      </c>
      <c r="I151" s="33" t="s">
        <v>186</v>
      </c>
      <c r="J151" s="30">
        <v>513146.84</v>
      </c>
      <c r="K151" s="34">
        <v>46000</v>
      </c>
      <c r="L151" s="35">
        <f t="shared" si="28"/>
        <v>61</v>
      </c>
      <c r="M151" s="30">
        <v>0</v>
      </c>
      <c r="N151" s="30">
        <f t="shared" si="27"/>
        <v>513146.84</v>
      </c>
    </row>
    <row r="152" spans="1:14">
      <c r="A152" s="63" t="s">
        <v>8</v>
      </c>
      <c r="B152" s="21">
        <v>45901</v>
      </c>
      <c r="C152" s="23">
        <v>514708.12</v>
      </c>
      <c r="D152" s="23">
        <f t="shared" si="29"/>
        <v>513146.84</v>
      </c>
      <c r="E152" s="23">
        <v>0</v>
      </c>
      <c r="F152" s="23">
        <v>513146.84</v>
      </c>
      <c r="G152" s="24">
        <v>45966</v>
      </c>
      <c r="H152" s="25" t="s">
        <v>84</v>
      </c>
      <c r="I152" s="26" t="s">
        <v>186</v>
      </c>
      <c r="J152" s="23">
        <v>513146.84</v>
      </c>
      <c r="K152" s="27">
        <v>46021</v>
      </c>
      <c r="L152" s="28">
        <f t="shared" si="28"/>
        <v>55</v>
      </c>
      <c r="M152" s="23">
        <v>0</v>
      </c>
      <c r="N152" s="23">
        <f t="shared" si="27"/>
        <v>513146.84</v>
      </c>
    </row>
    <row r="153" spans="1:14">
      <c r="A153" s="64" t="s">
        <v>8</v>
      </c>
      <c r="B153" s="29">
        <v>45931</v>
      </c>
      <c r="C153" s="30">
        <v>514708.12</v>
      </c>
      <c r="D153" s="30">
        <f t="shared" si="29"/>
        <v>513146.84</v>
      </c>
      <c r="E153" s="30">
        <v>0</v>
      </c>
      <c r="F153" s="30">
        <v>513146.84</v>
      </c>
      <c r="G153" s="31">
        <v>45987</v>
      </c>
      <c r="H153" s="32" t="s">
        <v>85</v>
      </c>
      <c r="I153" s="33" t="s">
        <v>186</v>
      </c>
      <c r="J153" s="30">
        <v>513146.84</v>
      </c>
      <c r="K153" s="34">
        <v>46036</v>
      </c>
      <c r="L153" s="35">
        <f t="shared" si="28"/>
        <v>49</v>
      </c>
      <c r="M153" s="30">
        <v>0</v>
      </c>
      <c r="N153" s="30">
        <f t="shared" si="27"/>
        <v>513146.84</v>
      </c>
    </row>
    <row r="154" spans="1:14">
      <c r="A154" s="63" t="s">
        <v>8</v>
      </c>
      <c r="B154" s="21">
        <v>45962</v>
      </c>
      <c r="C154" s="23">
        <v>514708.12</v>
      </c>
      <c r="D154" s="23">
        <v>513147</v>
      </c>
      <c r="E154" s="23">
        <v>0</v>
      </c>
      <c r="F154" s="23">
        <v>513146.84</v>
      </c>
      <c r="G154" s="24">
        <v>46082</v>
      </c>
      <c r="H154" s="25" t="s">
        <v>91</v>
      </c>
      <c r="I154" s="26" t="s">
        <v>186</v>
      </c>
      <c r="J154" s="23">
        <v>513146.84</v>
      </c>
      <c r="K154" s="27">
        <v>46127</v>
      </c>
      <c r="L154" s="28">
        <f t="shared" si="28"/>
        <v>45</v>
      </c>
      <c r="M154" s="23">
        <v>0</v>
      </c>
      <c r="N154" s="23">
        <f t="shared" si="27"/>
        <v>513146.84</v>
      </c>
    </row>
    <row r="155" spans="1:14">
      <c r="A155" s="64" t="s">
        <v>8</v>
      </c>
      <c r="B155" s="29">
        <v>45992</v>
      </c>
      <c r="C155" s="30">
        <v>514708.12</v>
      </c>
      <c r="D155" s="30">
        <v>513146.84</v>
      </c>
      <c r="E155" s="59">
        <v>0</v>
      </c>
      <c r="F155" s="30">
        <v>513146.84</v>
      </c>
      <c r="G155" s="31">
        <v>46097</v>
      </c>
      <c r="H155" s="32" t="s">
        <v>92</v>
      </c>
      <c r="I155" s="33" t="s">
        <v>186</v>
      </c>
      <c r="J155" s="30">
        <v>513146.84</v>
      </c>
      <c r="K155" s="33">
        <v>46153</v>
      </c>
      <c r="L155" s="35">
        <f t="shared" si="28"/>
        <v>56</v>
      </c>
      <c r="M155" s="30">
        <v>0</v>
      </c>
      <c r="N155" s="30">
        <f t="shared" si="27"/>
        <v>513146.84</v>
      </c>
    </row>
    <row r="156" spans="1:14">
      <c r="A156" s="63" t="s">
        <v>8</v>
      </c>
      <c r="B156" s="21">
        <v>46023</v>
      </c>
      <c r="C156" s="23">
        <v>513146.84</v>
      </c>
      <c r="D156" s="23">
        <v>513146.84</v>
      </c>
      <c r="E156" s="23">
        <v>0</v>
      </c>
      <c r="F156" s="23">
        <v>513146.84</v>
      </c>
      <c r="G156" s="24">
        <v>46107</v>
      </c>
      <c r="H156" s="25" t="s">
        <v>93</v>
      </c>
      <c r="I156" s="26" t="s">
        <v>186</v>
      </c>
      <c r="J156" s="23">
        <v>513146.84</v>
      </c>
      <c r="K156" s="26">
        <v>46153</v>
      </c>
      <c r="L156" s="28">
        <f>K156-G156</f>
        <v>46</v>
      </c>
      <c r="M156" s="23">
        <v>0</v>
      </c>
      <c r="N156" s="23">
        <f t="shared" si="27"/>
        <v>513146.84</v>
      </c>
    </row>
    <row r="157" spans="1:14">
      <c r="A157" s="64" t="s">
        <v>8</v>
      </c>
      <c r="B157" s="29">
        <v>46054</v>
      </c>
      <c r="C157" s="30">
        <v>513146.84</v>
      </c>
      <c r="D157" s="30">
        <v>513146.84</v>
      </c>
      <c r="E157" s="30">
        <v>0</v>
      </c>
      <c r="F157" s="30">
        <v>513146.84</v>
      </c>
      <c r="G157" s="42">
        <v>46134</v>
      </c>
      <c r="H157" s="50" t="s">
        <v>101</v>
      </c>
      <c r="I157" s="60">
        <f>G157+60</f>
        <v>46194</v>
      </c>
      <c r="J157" s="22">
        <v>0</v>
      </c>
      <c r="K157" s="43"/>
      <c r="L157" s="35">
        <f>K157-G157</f>
        <v>-46134</v>
      </c>
      <c r="M157" s="30">
        <v>0</v>
      </c>
      <c r="N157" s="30">
        <f t="shared" si="27"/>
        <v>513146.84</v>
      </c>
    </row>
    <row r="158" spans="1:14">
      <c r="A158" s="63" t="s">
        <v>8</v>
      </c>
      <c r="B158" s="21">
        <v>46082</v>
      </c>
      <c r="C158" s="23">
        <v>513146.84</v>
      </c>
      <c r="D158" s="23">
        <v>513146.84</v>
      </c>
      <c r="E158" s="23">
        <v>0</v>
      </c>
      <c r="F158" s="23">
        <v>513146.84</v>
      </c>
      <c r="G158" s="42">
        <v>46145</v>
      </c>
      <c r="H158" s="50" t="s">
        <v>106</v>
      </c>
      <c r="I158" s="60">
        <f t="shared" ref="I158:I159" si="30">G158+60</f>
        <v>46205</v>
      </c>
      <c r="J158" s="22">
        <v>0</v>
      </c>
      <c r="K158" s="43"/>
      <c r="L158" s="28">
        <f>K158-G158</f>
        <v>-46145</v>
      </c>
      <c r="M158" s="23">
        <v>0</v>
      </c>
      <c r="N158" s="23">
        <f t="shared" si="27"/>
        <v>513146.84</v>
      </c>
    </row>
    <row r="159" spans="1:14">
      <c r="A159" s="64" t="s">
        <v>8</v>
      </c>
      <c r="B159" s="29">
        <v>46113</v>
      </c>
      <c r="C159" s="30">
        <v>513146.84</v>
      </c>
      <c r="D159" s="30">
        <v>513146.84</v>
      </c>
      <c r="E159" s="30">
        <v>0</v>
      </c>
      <c r="F159" s="30">
        <v>513146.84</v>
      </c>
      <c r="G159" s="31">
        <v>46209</v>
      </c>
      <c r="H159" s="32" t="s">
        <v>129</v>
      </c>
      <c r="I159" s="60">
        <f t="shared" si="30"/>
        <v>46269</v>
      </c>
      <c r="J159" s="22">
        <v>0</v>
      </c>
      <c r="K159" s="43"/>
      <c r="L159" s="35">
        <f t="shared" ref="L159:L164" si="31">K159-G159</f>
        <v>-46209</v>
      </c>
      <c r="M159" s="30">
        <v>0</v>
      </c>
      <c r="N159" s="30">
        <f t="shared" si="27"/>
        <v>513146.84</v>
      </c>
    </row>
    <row r="160" spans="1:14">
      <c r="A160" s="66" t="s">
        <v>86</v>
      </c>
      <c r="B160" s="21">
        <v>45658</v>
      </c>
      <c r="C160" s="23">
        <v>3836650.53</v>
      </c>
      <c r="D160" s="61">
        <v>245207.95</v>
      </c>
      <c r="E160" s="23">
        <v>0</v>
      </c>
      <c r="F160" s="23">
        <v>245207.95</v>
      </c>
      <c r="G160" s="24">
        <v>46022</v>
      </c>
      <c r="H160" s="25">
        <v>26782</v>
      </c>
      <c r="I160" s="26" t="s">
        <v>186</v>
      </c>
      <c r="J160" s="23">
        <v>0</v>
      </c>
      <c r="K160" s="26"/>
      <c r="L160" s="28">
        <f t="shared" si="31"/>
        <v>-46022</v>
      </c>
      <c r="M160" s="23">
        <v>0</v>
      </c>
      <c r="N160" s="23">
        <f t="shared" si="27"/>
        <v>245207.95</v>
      </c>
    </row>
    <row r="161" spans="1:14">
      <c r="A161" s="65" t="s">
        <v>86</v>
      </c>
      <c r="B161" s="29">
        <v>45689</v>
      </c>
      <c r="C161" s="30">
        <v>0</v>
      </c>
      <c r="D161" s="62">
        <v>250199.33</v>
      </c>
      <c r="E161" s="30">
        <v>0</v>
      </c>
      <c r="F161" s="30">
        <v>250199.33</v>
      </c>
      <c r="G161" s="31">
        <v>46022</v>
      </c>
      <c r="H161" s="32">
        <v>26786</v>
      </c>
      <c r="I161" s="33" t="s">
        <v>186</v>
      </c>
      <c r="J161" s="30">
        <v>0</v>
      </c>
      <c r="K161" s="33"/>
      <c r="L161" s="35">
        <f t="shared" si="31"/>
        <v>-46022</v>
      </c>
      <c r="M161" s="30">
        <v>0</v>
      </c>
      <c r="N161" s="30">
        <f t="shared" si="27"/>
        <v>250199.33</v>
      </c>
    </row>
    <row r="162" spans="1:14">
      <c r="A162" s="66" t="s">
        <v>86</v>
      </c>
      <c r="B162" s="21">
        <v>45717</v>
      </c>
      <c r="C162" s="23">
        <v>0</v>
      </c>
      <c r="D162" s="61">
        <v>278625.44</v>
      </c>
      <c r="E162" s="23">
        <v>0</v>
      </c>
      <c r="F162" s="23">
        <v>278625.44</v>
      </c>
      <c r="G162" s="24">
        <v>46022</v>
      </c>
      <c r="H162" s="25">
        <v>26791</v>
      </c>
      <c r="I162" s="26" t="s">
        <v>186</v>
      </c>
      <c r="J162" s="23">
        <v>0</v>
      </c>
      <c r="K162" s="26"/>
      <c r="L162" s="28">
        <f t="shared" si="31"/>
        <v>-46022</v>
      </c>
      <c r="M162" s="23">
        <v>0</v>
      </c>
      <c r="N162" s="23">
        <f t="shared" si="27"/>
        <v>278625.44</v>
      </c>
    </row>
    <row r="163" spans="1:14">
      <c r="A163" s="65" t="s">
        <v>86</v>
      </c>
      <c r="B163" s="29">
        <v>45748</v>
      </c>
      <c r="C163" s="30">
        <v>0</v>
      </c>
      <c r="D163" s="62">
        <v>285471.53000000003</v>
      </c>
      <c r="E163" s="30">
        <v>0</v>
      </c>
      <c r="F163" s="30">
        <v>285471.53000000003</v>
      </c>
      <c r="G163" s="31">
        <v>46022</v>
      </c>
      <c r="H163" s="32">
        <v>26788</v>
      </c>
      <c r="I163" s="33" t="s">
        <v>186</v>
      </c>
      <c r="J163" s="30">
        <v>0</v>
      </c>
      <c r="K163" s="33"/>
      <c r="L163" s="35">
        <f t="shared" si="31"/>
        <v>-46022</v>
      </c>
      <c r="M163" s="30">
        <v>0</v>
      </c>
      <c r="N163" s="30">
        <f t="shared" si="27"/>
        <v>285471.53000000003</v>
      </c>
    </row>
    <row r="164" spans="1:14">
      <c r="A164" s="66" t="s">
        <v>86</v>
      </c>
      <c r="B164" s="21">
        <v>45778</v>
      </c>
      <c r="C164" s="23">
        <v>0</v>
      </c>
      <c r="D164" s="61">
        <v>298067.38</v>
      </c>
      <c r="E164" s="23">
        <v>0</v>
      </c>
      <c r="F164" s="23">
        <v>298067.38</v>
      </c>
      <c r="G164" s="24">
        <v>46022</v>
      </c>
      <c r="H164" s="25">
        <v>26780</v>
      </c>
      <c r="I164" s="26" t="s">
        <v>186</v>
      </c>
      <c r="J164" s="23">
        <v>0</v>
      </c>
      <c r="K164" s="26"/>
      <c r="L164" s="28">
        <f t="shared" si="31"/>
        <v>-46022</v>
      </c>
      <c r="M164" s="23">
        <v>0</v>
      </c>
      <c r="N164" s="23">
        <f t="shared" si="27"/>
        <v>298067.38</v>
      </c>
    </row>
    <row r="165" spans="1:14">
      <c r="A165" s="65" t="s">
        <v>86</v>
      </c>
      <c r="B165" s="29">
        <v>45809</v>
      </c>
      <c r="C165" s="30">
        <v>0</v>
      </c>
      <c r="D165" s="62">
        <v>304975.07</v>
      </c>
      <c r="E165" s="30">
        <v>0</v>
      </c>
      <c r="F165" s="30">
        <v>304975.07</v>
      </c>
      <c r="G165" s="31">
        <v>46022</v>
      </c>
      <c r="H165" s="32">
        <v>26785</v>
      </c>
      <c r="I165" s="33" t="s">
        <v>186</v>
      </c>
      <c r="J165" s="30">
        <v>0</v>
      </c>
      <c r="K165" s="33"/>
      <c r="L165" s="35">
        <f t="shared" si="28"/>
        <v>-46022</v>
      </c>
      <c r="M165" s="30">
        <v>0</v>
      </c>
      <c r="N165" s="30">
        <f t="shared" si="27"/>
        <v>304975.07</v>
      </c>
    </row>
    <row r="166" spans="1:14">
      <c r="A166" s="66" t="s">
        <v>86</v>
      </c>
      <c r="B166" s="21">
        <v>45839</v>
      </c>
      <c r="C166" s="23">
        <v>0</v>
      </c>
      <c r="D166" s="61">
        <v>340531.65</v>
      </c>
      <c r="E166" s="23">
        <v>0</v>
      </c>
      <c r="F166" s="23">
        <v>340531.65</v>
      </c>
      <c r="G166" s="24">
        <v>46022</v>
      </c>
      <c r="H166" s="25">
        <v>26784</v>
      </c>
      <c r="I166" s="26" t="s">
        <v>186</v>
      </c>
      <c r="J166" s="23">
        <v>0</v>
      </c>
      <c r="K166" s="26"/>
      <c r="L166" s="28">
        <f t="shared" si="28"/>
        <v>-46022</v>
      </c>
      <c r="M166" s="23">
        <v>0</v>
      </c>
      <c r="N166" s="23">
        <f t="shared" si="27"/>
        <v>340531.65</v>
      </c>
    </row>
    <row r="167" spans="1:14">
      <c r="A167" s="65" t="s">
        <v>86</v>
      </c>
      <c r="B167" s="29">
        <v>45870</v>
      </c>
      <c r="C167" s="30">
        <v>0</v>
      </c>
      <c r="D167" s="62">
        <v>348678.13</v>
      </c>
      <c r="E167" s="30">
        <v>0</v>
      </c>
      <c r="F167" s="30">
        <v>348678.13</v>
      </c>
      <c r="G167" s="31">
        <v>46022</v>
      </c>
      <c r="H167" s="32">
        <v>26781</v>
      </c>
      <c r="I167" s="33" t="s">
        <v>186</v>
      </c>
      <c r="J167" s="30">
        <v>0</v>
      </c>
      <c r="K167" s="33"/>
      <c r="L167" s="35">
        <f t="shared" si="28"/>
        <v>-46022</v>
      </c>
      <c r="M167" s="30">
        <v>0</v>
      </c>
      <c r="N167" s="30">
        <f t="shared" si="27"/>
        <v>348678.13</v>
      </c>
    </row>
    <row r="168" spans="1:14">
      <c r="A168" s="66" t="s">
        <v>86</v>
      </c>
      <c r="B168" s="21">
        <v>45901</v>
      </c>
      <c r="C168" s="23">
        <v>0</v>
      </c>
      <c r="D168" s="61">
        <v>350698.96</v>
      </c>
      <c r="E168" s="23">
        <v>0</v>
      </c>
      <c r="F168" s="23">
        <v>350698.96</v>
      </c>
      <c r="G168" s="24">
        <v>46022</v>
      </c>
      <c r="H168" s="25">
        <v>26783</v>
      </c>
      <c r="I168" s="26" t="s">
        <v>186</v>
      </c>
      <c r="J168" s="23">
        <v>0</v>
      </c>
      <c r="K168" s="26"/>
      <c r="L168" s="28">
        <f t="shared" si="28"/>
        <v>-46022</v>
      </c>
      <c r="M168" s="23">
        <v>0</v>
      </c>
      <c r="N168" s="23">
        <f t="shared" si="27"/>
        <v>350698.96</v>
      </c>
    </row>
    <row r="169" spans="1:14">
      <c r="A169" s="65" t="s">
        <v>86</v>
      </c>
      <c r="B169" s="29">
        <v>45931</v>
      </c>
      <c r="C169" s="30">
        <v>0</v>
      </c>
      <c r="D169" s="62">
        <v>350698.96</v>
      </c>
      <c r="E169" s="30">
        <v>0</v>
      </c>
      <c r="F169" s="30">
        <v>350698.96</v>
      </c>
      <c r="G169" s="31">
        <v>46022</v>
      </c>
      <c r="H169" s="32">
        <v>26790</v>
      </c>
      <c r="I169" s="33" t="s">
        <v>186</v>
      </c>
      <c r="J169" s="30">
        <v>0</v>
      </c>
      <c r="K169" s="33"/>
      <c r="L169" s="35">
        <f t="shared" si="28"/>
        <v>-46022</v>
      </c>
      <c r="M169" s="30">
        <v>0</v>
      </c>
      <c r="N169" s="30">
        <f t="shared" si="27"/>
        <v>350698.96</v>
      </c>
    </row>
    <row r="170" spans="1:14">
      <c r="A170" s="66" t="s">
        <v>86</v>
      </c>
      <c r="B170" s="21">
        <v>45962</v>
      </c>
      <c r="C170" s="23">
        <v>0</v>
      </c>
      <c r="D170" s="61">
        <v>350698.96</v>
      </c>
      <c r="E170" s="23">
        <v>0</v>
      </c>
      <c r="F170" s="23">
        <v>350698.96</v>
      </c>
      <c r="G170" s="24">
        <v>46022</v>
      </c>
      <c r="H170" s="25">
        <v>26789</v>
      </c>
      <c r="I170" s="26" t="s">
        <v>186</v>
      </c>
      <c r="J170" s="23">
        <v>0</v>
      </c>
      <c r="K170" s="26"/>
      <c r="L170" s="28">
        <f t="shared" si="28"/>
        <v>-46022</v>
      </c>
      <c r="M170" s="23">
        <v>0</v>
      </c>
      <c r="N170" s="23">
        <f t="shared" ref="N170:N176" si="32">F170-M170</f>
        <v>350698.96</v>
      </c>
    </row>
    <row r="171" spans="1:14">
      <c r="A171" s="65" t="s">
        <v>86</v>
      </c>
      <c r="B171" s="29">
        <v>45992</v>
      </c>
      <c r="C171" s="30">
        <v>0</v>
      </c>
      <c r="D171" s="62">
        <v>432797.17</v>
      </c>
      <c r="E171" s="30">
        <v>0</v>
      </c>
      <c r="F171" s="30">
        <v>432797.17</v>
      </c>
      <c r="G171" s="31">
        <v>46022</v>
      </c>
      <c r="H171" s="32">
        <v>26787</v>
      </c>
      <c r="I171" s="33" t="s">
        <v>186</v>
      </c>
      <c r="J171" s="30">
        <v>0</v>
      </c>
      <c r="K171" s="33"/>
      <c r="L171" s="35">
        <f t="shared" si="28"/>
        <v>-46022</v>
      </c>
      <c r="M171" s="30">
        <v>0</v>
      </c>
      <c r="N171" s="30">
        <f t="shared" si="32"/>
        <v>432797.17</v>
      </c>
    </row>
    <row r="172" spans="1:14">
      <c r="A172" s="66" t="s">
        <v>97</v>
      </c>
      <c r="B172" s="21">
        <v>46023</v>
      </c>
      <c r="C172" s="23">
        <v>324695.95</v>
      </c>
      <c r="D172" s="23">
        <v>324695.95</v>
      </c>
      <c r="E172" s="23">
        <v>0</v>
      </c>
      <c r="F172" s="23">
        <v>324695.95</v>
      </c>
      <c r="G172" s="24">
        <v>46125</v>
      </c>
      <c r="H172" s="25" t="s">
        <v>98</v>
      </c>
      <c r="I172" s="26" t="s">
        <v>186</v>
      </c>
      <c r="J172" s="23">
        <v>0</v>
      </c>
      <c r="K172" s="26"/>
      <c r="L172" s="28">
        <f t="shared" si="28"/>
        <v>-46125</v>
      </c>
      <c r="M172" s="23">
        <v>0</v>
      </c>
      <c r="N172" s="23">
        <f t="shared" si="32"/>
        <v>324695.95</v>
      </c>
    </row>
    <row r="173" spans="1:14">
      <c r="A173" s="65" t="s">
        <v>97</v>
      </c>
      <c r="B173" s="29">
        <v>46054</v>
      </c>
      <c r="C173" s="30">
        <v>324695.95</v>
      </c>
      <c r="D173" s="30">
        <v>324695.95</v>
      </c>
      <c r="E173" s="30">
        <v>0</v>
      </c>
      <c r="F173" s="30">
        <v>324695.95</v>
      </c>
      <c r="G173" s="31">
        <v>46125</v>
      </c>
      <c r="H173" s="32" t="s">
        <v>99</v>
      </c>
      <c r="I173" s="33" t="s">
        <v>186</v>
      </c>
      <c r="J173" s="30">
        <v>0</v>
      </c>
      <c r="K173" s="33"/>
      <c r="L173" s="35">
        <f t="shared" si="28"/>
        <v>-46125</v>
      </c>
      <c r="M173" s="30">
        <v>0</v>
      </c>
      <c r="N173" s="30">
        <f t="shared" si="32"/>
        <v>324695.95</v>
      </c>
    </row>
    <row r="174" spans="1:14">
      <c r="A174" s="66" t="s">
        <v>97</v>
      </c>
      <c r="B174" s="21">
        <v>46082</v>
      </c>
      <c r="C174" s="23">
        <v>324695.95</v>
      </c>
      <c r="D174" s="23">
        <v>324695.95</v>
      </c>
      <c r="E174" s="23">
        <v>0</v>
      </c>
      <c r="F174" s="23">
        <v>324695.95</v>
      </c>
      <c r="G174" s="24">
        <v>46125</v>
      </c>
      <c r="H174" s="25" t="s">
        <v>100</v>
      </c>
      <c r="I174" s="26" t="s">
        <v>186</v>
      </c>
      <c r="J174" s="23">
        <v>0</v>
      </c>
      <c r="K174" s="26"/>
      <c r="L174" s="28">
        <f t="shared" si="28"/>
        <v>-46125</v>
      </c>
      <c r="M174" s="23">
        <v>0</v>
      </c>
      <c r="N174" s="23">
        <f t="shared" si="32"/>
        <v>324695.95</v>
      </c>
    </row>
    <row r="175" spans="1:14">
      <c r="A175" s="65" t="s">
        <v>97</v>
      </c>
      <c r="B175" s="29">
        <v>46113</v>
      </c>
      <c r="C175" s="30">
        <v>420059.81</v>
      </c>
      <c r="D175" s="30">
        <v>420059.81</v>
      </c>
      <c r="E175" s="30">
        <v>0</v>
      </c>
      <c r="F175" s="30">
        <v>420059.81</v>
      </c>
      <c r="G175" s="31">
        <v>46176</v>
      </c>
      <c r="H175" s="32" t="s">
        <v>119</v>
      </c>
      <c r="I175" s="33" t="s">
        <v>186</v>
      </c>
      <c r="J175" s="30">
        <v>0</v>
      </c>
      <c r="K175" s="33"/>
      <c r="L175" s="35">
        <f t="shared" si="28"/>
        <v>-46176</v>
      </c>
      <c r="M175" s="30">
        <v>0</v>
      </c>
      <c r="N175" s="30">
        <f t="shared" si="32"/>
        <v>420059.81</v>
      </c>
    </row>
    <row r="176" spans="1:14">
      <c r="A176" s="66" t="s">
        <v>97</v>
      </c>
      <c r="B176" s="44">
        <v>46143</v>
      </c>
      <c r="C176" s="45"/>
      <c r="D176" s="22">
        <v>400000</v>
      </c>
      <c r="E176" s="22"/>
      <c r="F176" s="22"/>
      <c r="G176" s="46"/>
      <c r="H176" s="47"/>
      <c r="I176" s="26" t="s">
        <v>186</v>
      </c>
      <c r="J176" s="23">
        <v>0</v>
      </c>
      <c r="K176" s="26"/>
      <c r="L176" s="28">
        <f t="shared" ref="L176" si="33">K176-G176</f>
        <v>0</v>
      </c>
      <c r="M176" s="23">
        <v>0</v>
      </c>
      <c r="N176" s="23">
        <f t="shared" si="32"/>
        <v>0</v>
      </c>
    </row>
    <row r="177" spans="1:14">
      <c r="A177" s="65" t="s">
        <v>97</v>
      </c>
      <c r="B177" s="44">
        <v>46174</v>
      </c>
      <c r="C177" s="45"/>
      <c r="D177" s="22">
        <v>450000</v>
      </c>
      <c r="E177" s="22"/>
      <c r="F177" s="22"/>
      <c r="G177" s="46"/>
      <c r="H177" s="47"/>
      <c r="I177" s="33" t="s">
        <v>186</v>
      </c>
      <c r="J177" s="30">
        <v>0</v>
      </c>
      <c r="K177" s="33"/>
      <c r="L177" s="35">
        <f t="shared" ref="L177" si="34">K177-G177</f>
        <v>0</v>
      </c>
      <c r="M177" s="30">
        <v>0</v>
      </c>
      <c r="N177" s="30">
        <f t="shared" ref="N177" si="35">F177-M177</f>
        <v>0</v>
      </c>
    </row>
    <row r="178" spans="1:14">
      <c r="A178" s="66" t="s">
        <v>97</v>
      </c>
      <c r="B178" s="44">
        <v>46204</v>
      </c>
      <c r="C178" s="45"/>
      <c r="D178" s="22">
        <v>450000</v>
      </c>
      <c r="E178" s="22"/>
      <c r="F178" s="22"/>
      <c r="G178" s="46"/>
      <c r="H178" s="47"/>
      <c r="I178" s="26" t="s">
        <v>186</v>
      </c>
      <c r="J178" s="23">
        <v>0</v>
      </c>
      <c r="K178" s="26"/>
      <c r="L178" s="28">
        <f t="shared" ref="L178" si="36">K178-G178</f>
        <v>0</v>
      </c>
      <c r="M178" s="23">
        <v>0</v>
      </c>
      <c r="N178" s="23">
        <f t="shared" ref="N178" si="37">F178-M178</f>
        <v>0</v>
      </c>
    </row>
  </sheetData>
  <conditionalFormatting sqref="H54">
    <cfRule type="duplicateValues" dxfId="10" priority="10"/>
  </conditionalFormatting>
  <conditionalFormatting sqref="H55">
    <cfRule type="duplicateValues" dxfId="9" priority="6"/>
  </conditionalFormatting>
  <conditionalFormatting sqref="H56">
    <cfRule type="duplicateValues" dxfId="8" priority="5"/>
  </conditionalFormatting>
  <conditionalFormatting sqref="H57">
    <cfRule type="duplicateValues" dxfId="7" priority="4"/>
  </conditionalFormatting>
  <conditionalFormatting sqref="H76">
    <cfRule type="duplicateValues" dxfId="6" priority="9"/>
  </conditionalFormatting>
  <conditionalFormatting sqref="H77">
    <cfRule type="duplicateValues" dxfId="5" priority="3"/>
  </conditionalFormatting>
  <conditionalFormatting sqref="H110">
    <cfRule type="duplicateValues" dxfId="4" priority="8"/>
  </conditionalFormatting>
  <conditionalFormatting sqref="H111">
    <cfRule type="duplicateValues" dxfId="3" priority="2"/>
  </conditionalFormatting>
  <conditionalFormatting sqref="H112:H176 H78:H109 H58:H75 H1:H53 H179:H1048576">
    <cfRule type="duplicateValues" dxfId="2" priority="11"/>
  </conditionalFormatting>
  <conditionalFormatting sqref="H177">
    <cfRule type="duplicateValues" dxfId="1" priority="7"/>
  </conditionalFormatting>
  <conditionalFormatting sqref="H178">
    <cfRule type="duplicateValues" dxfId="0" priority="1"/>
  </conditionalFormatting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51E08-8B94-4D71-B2DC-D99DFC635111}">
  <dimension ref="A1:H9"/>
  <sheetViews>
    <sheetView workbookViewId="0">
      <selection activeCell="E2" sqref="E2:E9"/>
    </sheetView>
  </sheetViews>
  <sheetFormatPr defaultRowHeight="14.4"/>
  <cols>
    <col min="1" max="1" width="30.44140625" bestFit="1" customWidth="1"/>
    <col min="2" max="2" width="11.6640625" bestFit="1" customWidth="1"/>
    <col min="3" max="3" width="13.33203125" customWidth="1"/>
    <col min="4" max="4" width="33.44140625" customWidth="1"/>
    <col min="5" max="5" width="29.109375" bestFit="1" customWidth="1"/>
    <col min="6" max="6" width="13.21875" bestFit="1" customWidth="1"/>
    <col min="7" max="7" width="9" bestFit="1" customWidth="1"/>
    <col min="8" max="8" width="14.33203125" bestFit="1" customWidth="1"/>
  </cols>
  <sheetData>
    <row r="1" spans="1:8" s="16" customFormat="1" ht="15.6">
      <c r="A1" s="15" t="s">
        <v>0</v>
      </c>
      <c r="B1" s="15" t="s">
        <v>180</v>
      </c>
      <c r="C1" s="15" t="s">
        <v>181</v>
      </c>
      <c r="D1" s="15" t="s">
        <v>182</v>
      </c>
      <c r="E1" s="15" t="s">
        <v>183</v>
      </c>
      <c r="F1" s="15" t="s">
        <v>184</v>
      </c>
      <c r="G1" s="15" t="s">
        <v>185</v>
      </c>
      <c r="H1" s="15" t="s">
        <v>1</v>
      </c>
    </row>
    <row r="2" spans="1:8">
      <c r="A2" s="1" t="s">
        <v>5</v>
      </c>
      <c r="B2" s="5">
        <v>45200</v>
      </c>
      <c r="C2" s="5">
        <v>46296</v>
      </c>
      <c r="D2" s="17">
        <v>123000000</v>
      </c>
      <c r="E2" s="19">
        <f>D2/36</f>
        <v>3416666.6666666665</v>
      </c>
      <c r="F2" s="4"/>
      <c r="G2" s="4"/>
      <c r="H2" s="4"/>
    </row>
    <row r="3" spans="1:8">
      <c r="A3" s="2" t="s">
        <v>22</v>
      </c>
      <c r="B3" s="5">
        <v>45677</v>
      </c>
      <c r="C3" s="5">
        <v>45677</v>
      </c>
      <c r="D3" s="17">
        <v>5387339</v>
      </c>
      <c r="E3" s="18">
        <f>D3</f>
        <v>5387339</v>
      </c>
      <c r="F3" s="4"/>
      <c r="G3" s="4"/>
      <c r="H3" s="4"/>
    </row>
    <row r="4" spans="1:8">
      <c r="A4" s="2" t="s">
        <v>13</v>
      </c>
      <c r="B4" s="5">
        <v>45658</v>
      </c>
      <c r="C4" s="5">
        <v>45992</v>
      </c>
      <c r="D4" s="17">
        <v>12000000</v>
      </c>
      <c r="E4" s="17">
        <v>1000000</v>
      </c>
      <c r="F4" s="4"/>
      <c r="G4" s="4"/>
      <c r="H4" s="4"/>
    </row>
    <row r="5" spans="1:8">
      <c r="A5" s="2" t="s">
        <v>89</v>
      </c>
      <c r="B5" s="5">
        <v>46023</v>
      </c>
      <c r="C5" s="5">
        <v>46296</v>
      </c>
      <c r="D5" s="17">
        <v>11400000</v>
      </c>
      <c r="E5" s="18">
        <v>1200000</v>
      </c>
      <c r="F5" s="4"/>
      <c r="G5" s="4"/>
      <c r="H5" s="4"/>
    </row>
    <row r="6" spans="1:8">
      <c r="A6" s="2" t="s">
        <v>4</v>
      </c>
      <c r="B6" s="5">
        <v>45200</v>
      </c>
      <c r="C6" s="5">
        <v>46296</v>
      </c>
      <c r="D6" s="17">
        <v>45000000</v>
      </c>
      <c r="E6" s="18">
        <v>1250000.05</v>
      </c>
      <c r="F6" s="4"/>
      <c r="G6" s="4"/>
      <c r="H6" s="4"/>
    </row>
    <row r="7" spans="1:8">
      <c r="A7" s="1" t="s">
        <v>8</v>
      </c>
      <c r="B7" s="5">
        <v>44682</v>
      </c>
      <c r="C7" s="5">
        <v>46113</v>
      </c>
      <c r="D7" s="18">
        <f>SUMIF(Revenue!A:A,"STC WIFI",Revenue!C:C)</f>
        <v>24875578.640000001</v>
      </c>
      <c r="E7" s="18">
        <f>D7/48</f>
        <v>518241.22166666668</v>
      </c>
      <c r="F7" s="4"/>
      <c r="G7" s="4"/>
      <c r="H7" s="4"/>
    </row>
    <row r="8" spans="1:8">
      <c r="A8" s="3" t="s">
        <v>86</v>
      </c>
      <c r="B8" s="5">
        <v>45658</v>
      </c>
      <c r="C8" s="5">
        <v>45992</v>
      </c>
      <c r="D8" s="17">
        <v>3836650.53</v>
      </c>
      <c r="E8" s="17">
        <f>D8/12</f>
        <v>319720.8775</v>
      </c>
      <c r="F8" s="4"/>
      <c r="G8" s="4"/>
      <c r="H8" s="4"/>
    </row>
    <row r="9" spans="1:8">
      <c r="A9" s="3" t="s">
        <v>97</v>
      </c>
      <c r="B9" s="5">
        <v>46023</v>
      </c>
      <c r="C9" s="5">
        <v>46357</v>
      </c>
      <c r="D9" s="17">
        <f>400000*12</f>
        <v>4800000</v>
      </c>
      <c r="E9" s="17">
        <f>D9/12</f>
        <v>400000</v>
      </c>
      <c r="F9" s="4"/>
      <c r="G9" s="4"/>
      <c r="H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Revenue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Yahia. Quhal</dc:creator>
  <cp:lastModifiedBy>Bannaga Altieb Abdul Muhsin</cp:lastModifiedBy>
  <dcterms:created xsi:type="dcterms:W3CDTF">2015-06-05T18:17:20Z</dcterms:created>
  <dcterms:modified xsi:type="dcterms:W3CDTF">2026-08-05T15:42:58Z</dcterms:modified>
</cp:coreProperties>
</file>